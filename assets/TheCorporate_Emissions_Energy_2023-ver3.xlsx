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 Zero Projects" sheetId="1" state="visible" r:id="rId3"/>
    <sheet name="Emission Factors" sheetId="2" state="visible" r:id="rId4"/>
    <sheet name="Scope 1 — Detail" sheetId="3" state="visible" r:id="rId5"/>
    <sheet name="Scope 2 — Detail" sheetId="4" state="visible" r:id="rId6"/>
    <sheet name="Scope 3 — Detail" sheetId="5" state="visible" r:id="rId7"/>
    <sheet name="Energy Mix" sheetId="6" state="visible" r:id="rId8"/>
    <sheet name="Master Summary" sheetId="7" state="visible" r:id="rId9"/>
    <sheet name="Data Diction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<sst xmlns="http://schemas.openxmlformats.org/spreadsheetml/2006/main" count="389" uniqueCount="289">
  <si>
    <t xml:space="preserve">THE CORPORATE — NET ZERO ABATEMENT PROJECT REGISTER — 2025–2045</t>
  </si>
  <si>
    <t xml:space="preserve">Shadow Carbon Price:</t>
  </si>
  <si>
    <t xml:space="preserve">$100 / tCO2e</t>
  </si>
  <si>
    <t xml:space="preserve">SBTi Framework:</t>
  </si>
  <si>
    <t xml:space="preserve">1.5°C Aligned</t>
  </si>
  <si>
    <t xml:space="preserve">Gross Carbon Debt:</t>
  </si>
  <si>
    <t xml:space="preserve">4,588,079 tCO2e</t>
  </si>
  <si>
    <t xml:space="preserve">SBTi Removals Cap:</t>
  </si>
  <si>
    <t xml:space="preserve">458,808 tCO2e</t>
  </si>
  <si>
    <t xml:space="preserve">2030 SBTi Gate:</t>
  </si>
  <si>
    <t xml:space="preserve">784,217 tCO2e (−50% MB)</t>
  </si>
  <si>
    <t xml:space="preserve">Max DAC Liability:</t>
  </si>
  <si>
    <t xml:space="preserve">$91.8M at $200/t</t>
  </si>
  <si>
    <t xml:space="preserve">#</t>
  </si>
  <si>
    <t xml:space="preserve">Project Name</t>
  </si>
  <si>
    <t xml:space="preserve">Scope(s)</t>
  </si>
  <si>
    <t xml:space="preserve">Wave</t>
  </si>
  <si>
    <t xml:space="preserve">Status</t>
  </si>
  <si>
    <t xml:space="preserve">Max Abatement
(tCO2e)</t>
  </si>
  <si>
    <t xml:space="preserve">CAPEX
($M)</t>
  </si>
  <si>
    <t xml:space="preserve">MAC
($/tCO2e)</t>
  </si>
  <si>
    <t xml:space="preserve">OPEX Saving
($M/yr)</t>
  </si>
  <si>
    <t xml:space="preserve">Start
Year</t>
  </si>
  <si>
    <t xml:space="preserve">Target
Completion</t>
  </si>
  <si>
    <t xml:space="preserve">Primary Facilities</t>
  </si>
  <si>
    <t xml:space="preserve">Notes / Trigger</t>
  </si>
  <si>
    <t xml:space="preserve">WAVE 1 — 2025–2027  |  7 levers  |  All MAC ≤ $15/t  |  Approved for immediate funding  |  230,000 tCO2e</t>
  </si>
  <si>
    <t xml:space="preserve">Logistics Modal Shift — Air to Sea</t>
  </si>
  <si>
    <t xml:space="preserve">Scope 3</t>
  </si>
  <si>
    <t xml:space="preserve">Wave 1</t>
  </si>
  <si>
    <t xml:space="preserve">Approved</t>
  </si>
  <si>
    <t xml:space="preserve">Shenzhen Systems, Chennai Circuitry</t>
  </si>
  <si>
    <t xml:space="preserve">Highest-priority W1 lever. Zero CAPEX. $2.7M annual freight cost saving. Cat 4 reduction.</t>
  </si>
  <si>
    <t xml:space="preserve">LED Retrofit &amp; Lighting Controls</t>
  </si>
  <si>
    <t xml:space="preserve">Scope 1 &amp; 2</t>
  </si>
  <si>
    <t xml:space="preserve">In Planning</t>
  </si>
  <si>
    <t xml:space="preserve">All 5 facilities</t>
  </si>
  <si>
    <t xml:space="preserve">Rapid payback ~8 months. Immediate electricity reduction across all sites.</t>
  </si>
  <si>
    <t xml:space="preserve">Compressed Air Leak Detection</t>
  </si>
  <si>
    <t xml:space="preserve">Not Started</t>
  </si>
  <si>
    <t xml:space="preserve">Hanoi Hub, Shenzhen Systems, Chennai Circuitry</t>
  </si>
  <si>
    <t xml:space="preserve">Low CAPEX, high ROI. Priority at high-volume production sites.</t>
  </si>
  <si>
    <t xml:space="preserve">HVAC Optimisation &amp; AI Sensors</t>
  </si>
  <si>
    <t xml:space="preserve">Guadalajara Gigafactory, Shenzhen Systems</t>
  </si>
  <si>
    <t xml:space="preserve">Critical for dry room environments at Guadalajara. AI sensor overlay on existing HVAC.</t>
  </si>
  <si>
    <t xml:space="preserve">Smart Building Management System</t>
  </si>
  <si>
    <t xml:space="preserve">Central BMS deployment. Integrates LED, HVAC, compressed air monitoring.</t>
  </si>
  <si>
    <t xml:space="preserve">On-site Rooftop Solar PV</t>
  </si>
  <si>
    <t xml:space="preserve">Scope 2</t>
  </si>
  <si>
    <t xml:space="preserve">Guadalajara Gigafactory (priority), Chennai Circuitry, Hanoi Hub</t>
  </si>
  <si>
    <t xml:space="preserve">Guadalajara: 18% solar IRR premium — earliest payback. Chennai: India RPO 25% RE mandate by 2030 — non-discretionary. Hanoi rooftop currently empty — deploy by 2026.</t>
  </si>
  <si>
    <t xml:space="preserve">Electric Forklift Fleet Transition</t>
  </si>
  <si>
    <t xml:space="preserve">Scope 1</t>
  </si>
  <si>
    <t xml:space="preserve">Shenzhen Systems, Hanoi Hub</t>
  </si>
  <si>
    <t xml:space="preserve">Replaces diesel mobile combustion. Prerequisite: Hanoi battery storage deployment first.</t>
  </si>
  <si>
    <t xml:space="preserve">WAVE 2 — 2028–2032  |  5 levers  |  MAC $20–$85/t  |  Approved  |  400,000 tCO2e</t>
  </si>
  <si>
    <t xml:space="preserve">Off-site Virtual PPA — Wind / Solar</t>
  </si>
  <si>
    <t xml:space="preserve">Wave 2</t>
  </si>
  <si>
    <t xml:space="preserve">Shenzhen Systems (priority), Wrocław Precision</t>
  </si>
  <si>
    <t xml:space="preserve">Zero CAPEX. $20/t MAC. Shenzhen: highest grid EF (0.581). Wrocław: EU CBAM pressure raises effective shadow price to $180/t. Largest MB vs LB gap closure.</t>
  </si>
  <si>
    <t xml:space="preserve">Supplier Energy Efficiency Program</t>
  </si>
  <si>
    <t xml:space="preserve">All facilities — procurement-led</t>
  </si>
  <si>
    <t xml:space="preserve">Tier 1 supplier engagement programme. Cat 3 and Cat 1 partial reduction. VP Procurement ownership.</t>
  </si>
  <si>
    <t xml:space="preserve">Bio-based Polymers for Packaging</t>
  </si>
  <si>
    <t xml:space="preserve">Material specification change. Targets Cat 1 polymer inputs. Zero CAPEX — supplier contract renegotiation.</t>
  </si>
  <si>
    <t xml:space="preserve">90% Recycled Aluminium Sourcing</t>
  </si>
  <si>
    <t xml:space="preserve">Wrocław Precision (primary), Shenzhen Systems</t>
  </si>
  <si>
    <t xml:space="preserve">Largest single abatement lever in portfolio (140,000 tCO2e). Cat 1 aluminium &amp; metals. Wrocław EU CBAM: $80/t on embodied carbon — effective MAC $180/t raises urgency. VP Procurement lead.</t>
  </si>
  <si>
    <t xml:space="preserve">Industrial Heat Pumps</t>
  </si>
  <si>
    <t xml:space="preserve">Wrocław Precision, Guadalajara Gigafactory</t>
  </si>
  <si>
    <t xml:space="preserve">Replaces natural gas for process heat. Wrocław CNC stress-relief ovens primary target. Guadalajara dry rooms secondary.</t>
  </si>
  <si>
    <t xml:space="preserve">WAVE 3 — 2033–2040  |  1 lever  |  MAC = $100/t  |  WATCH — annual MAC review required  |  55,000 tCO2e</t>
  </si>
  <si>
    <t xml:space="preserve">Supplier Renewable Energy Mandate (SBTi)</t>
  </si>
  <si>
    <t xml:space="preserve">Wave 3</t>
  </si>
  <si>
    <t xml:space="preserve">Watch</t>
  </si>
  <si>
    <t xml:space="preserve">All facilities — Tier 1 &amp; Tier 2 suppliers</t>
  </si>
  <si>
    <t xml:space="preserve">MAC exactly at $100/t shadow price threshold. Annual MAC review from 2028 required. Escalate to CSO if MAC &gt; $110/t for 2 consecutive quarters. Cat 3 and Cat 1 supplier energy use.</t>
  </si>
  <si>
    <t xml:space="preserve">WAVE 4 — 2040–2045  |  DAC removals  |  $200/t  |  LAST RESORT — Board approval required  |  ≤458,808 tCO2e</t>
  </si>
  <si>
    <t xml:space="preserve">Permanent Carbon Removals — DAC</t>
  </si>
  <si>
    <t xml:space="preserve">Removals</t>
  </si>
  <si>
    <t xml:space="preserve">Wave 4</t>
  </si>
  <si>
    <t xml:space="preserve">Corporate-level — not facility-specific</t>
  </si>
  <si>
    <t xml:space="preserve">LAST RESORT only. SBTi cap: 458,808 tCO2e max (10% gross debt). Max liability $91.8M at $200/t. Board approval required before any DAC contract is executed. Activated only after all operational levers exhausted. Do not exceed cap — triggers mandatory portfolio review.</t>
  </si>
  <si>
    <t xml:space="preserve">PORTFOLIO SUMMARY — WAVES 1–3 OPERATIONAL ABATEMENT</t>
  </si>
  <si>
    <t xml:space="preserve">Wave 1 — Approved levers (7)</t>
  </si>
  <si>
    <t xml:space="preserve">Wave 2 — Approved levers (5)</t>
  </si>
  <si>
    <t xml:space="preserve">Wave 3 — WATCH lever (1)</t>
  </si>
  <si>
    <t xml:space="preserve">TOTAL OPERATIONAL ABATEMENT (W1+W2+W3)</t>
  </si>
  <si>
    <t xml:space="preserve">PORTFOLIO GAP ANALYSIS vs GROSS CARBON DEBT</t>
  </si>
  <si>
    <t xml:space="preserve">Gross Carbon Debt to 2045 (5% growth, 22yr)</t>
  </si>
  <si>
    <t xml:space="preserve">Total Operational Abatement — W1+W2+W3</t>
  </si>
  <si>
    <t xml:space="preserve">Maximum DAC Removals — Wave 4 (SBTi cap)</t>
  </si>
  <si>
    <t xml:space="preserve">Remaining Gap after all levers + DAC</t>
  </si>
  <si>
    <t xml:space="preserve">Portfolio coverage of gross debt (%)</t>
  </si>
  <si>
    <t xml:space="preserve">Source: The_Corporate_Net_Zero_2045_Strategy_v2.docx — 16 May 2026 — Approved by CSO  |  Status field is the live element — update as projects progress  |  Blue = inputs  |  Black = formulas  |  MAC: negative = cost saving</t>
  </si>
  <si>
    <t xml:space="preserve">EMISSION FACTORS — 2023 BASELINE</t>
  </si>
  <si>
    <t xml:space="preserve">Factor Name</t>
  </si>
  <si>
    <t xml:space="preserve">Value</t>
  </si>
  <si>
    <t xml:space="preserve">Unit</t>
  </si>
  <si>
    <t xml:space="preserve">Scope / Category</t>
  </si>
  <si>
    <t xml:space="preserve">Notes</t>
  </si>
  <si>
    <t xml:space="preserve">Natural Gas</t>
  </si>
  <si>
    <t xml:space="preserve">tCO2e / m³</t>
  </si>
  <si>
    <t xml:space="preserve">S1 Stationary</t>
  </si>
  <si>
    <t xml:space="preserve">IPCC AR6 — incl. CH4 &amp; N2O</t>
  </si>
  <si>
    <t xml:space="preserve">Diesel (stationary)</t>
  </si>
  <si>
    <t xml:space="preserve">tCO2e / tonne</t>
  </si>
  <si>
    <t xml:space="preserve">IEA 2023</t>
  </si>
  <si>
    <t xml:space="preserve">LPG</t>
  </si>
  <si>
    <t xml:space="preserve">IPCC default</t>
  </si>
  <si>
    <t xml:space="preserve">Coal (thermal)</t>
  </si>
  <si>
    <t xml:space="preserve">IPCC 2006 GL</t>
  </si>
  <si>
    <t xml:space="preserve">Diesel (mobile)</t>
  </si>
  <si>
    <t xml:space="preserve">S1 Mobile</t>
  </si>
  <si>
    <t xml:space="preserve">GHG Protocol</t>
  </si>
  <si>
    <t xml:space="preserve">Petrol (mobile)</t>
  </si>
  <si>
    <t xml:space="preserve">Grid — Vietnam</t>
  </si>
  <si>
    <t xml:space="preserve">tCO2e / MWh</t>
  </si>
  <si>
    <t xml:space="preserve">S2 Electricity</t>
  </si>
  <si>
    <t xml:space="preserve">IEA 2022 VN grid</t>
  </si>
  <si>
    <t xml:space="preserve">Grid — Mexico</t>
  </si>
  <si>
    <t xml:space="preserve">SEMARNAT 2022</t>
  </si>
  <si>
    <t xml:space="preserve">Grid — China</t>
  </si>
  <si>
    <t xml:space="preserve">CEA 2022</t>
  </si>
  <si>
    <t xml:space="preserve">Grid — Poland</t>
  </si>
  <si>
    <t xml:space="preserve">KOBiZE 2022</t>
  </si>
  <si>
    <t xml:space="preserve">Grid — India</t>
  </si>
  <si>
    <t xml:space="preserve">CEA India 2022</t>
  </si>
  <si>
    <t xml:space="preserve">Renewable (PPA/REC)</t>
  </si>
  <si>
    <t xml:space="preserve">S2 Market-based</t>
  </si>
  <si>
    <t xml:space="preserve">GHG Protocol MB method</t>
  </si>
  <si>
    <t xml:space="preserve">Note: All factors are mock/illustrative values for dashboard modelling. Replace with certified factors for compliance reporting.</t>
  </si>
  <si>
    <t xml:space="preserve">SCOPE 1 EMISSIONS &amp; ENERGY CONSUMPTION — 2023</t>
  </si>
  <si>
    <t xml:space="preserve">STATIONARY COMBUSTION</t>
  </si>
  <si>
    <t xml:space="preserve">MOBILE COMBUSTION</t>
  </si>
  <si>
    <t xml:space="preserve">Facility</t>
  </si>
  <si>
    <t xml:space="preserve">Nat. Gas (m³)</t>
  </si>
  <si>
    <t xml:space="preserve">Nat. Gas (tCO2e)</t>
  </si>
  <si>
    <t xml:space="preserve">Diesel Stat. (t)</t>
  </si>
  <si>
    <t xml:space="preserve">Diesel Stat. (tCO2e)</t>
  </si>
  <si>
    <t xml:space="preserve">LPG (t)</t>
  </si>
  <si>
    <t xml:space="preserve">LPG (tCO2e)</t>
  </si>
  <si>
    <t xml:space="preserve">Total Stationary (tCO2e)</t>
  </si>
  <si>
    <t xml:space="preserve">Diesel Mobile (t)</t>
  </si>
  <si>
    <t xml:space="preserve">Diesel Mobile (tCO2e)</t>
  </si>
  <si>
    <t xml:space="preserve">Petrol Mobile (t)</t>
  </si>
  <si>
    <t xml:space="preserve">Total Mobile (tCO2e)</t>
  </si>
  <si>
    <t xml:space="preserve">Hanoi Hub</t>
  </si>
  <si>
    <t xml:space="preserve">Guadalajara Gigafactory</t>
  </si>
  <si>
    <t xml:space="preserve">Shenzhen Systems</t>
  </si>
  <si>
    <t xml:space="preserve">Wrocław Precision</t>
  </si>
  <si>
    <t xml:space="preserve">Chennai Circuitry</t>
  </si>
  <si>
    <t xml:space="preserve">TOTAL</t>
  </si>
  <si>
    <t xml:space="preserve">SCOPE 2 EMISSIONS &amp; ENERGY CONSUMPTION — 2023</t>
  </si>
  <si>
    <t xml:space="preserve">ELECTRICITY CONSUMPTION</t>
  </si>
  <si>
    <t xml:space="preserve">LOCATION-BASED</t>
  </si>
  <si>
    <t xml:space="preserve">MARKET-BASED</t>
  </si>
  <si>
    <t xml:space="preserve">Total Elec. (MWh)</t>
  </si>
  <si>
    <t xml:space="preserve">Grid Elec. (MWh)</t>
  </si>
  <si>
    <t xml:space="preserve">Renewables PPA (MWh)</t>
  </si>
  <si>
    <t xml:space="preserve">% Renewable</t>
  </si>
  <si>
    <t xml:space="preserve">Gas EF Applied</t>
  </si>
  <si>
    <t xml:space="preserve">LB Emissions (tCO2e)</t>
  </si>
  <si>
    <t xml:space="preserve">LB Intensity (tCO2e/MWh)</t>
  </si>
  <si>
    <t xml:space="preserve">MB Emissions (tCO2e)</t>
  </si>
  <si>
    <t xml:space="preserve">MB Intensity (tCO2e/MWh)</t>
  </si>
  <si>
    <t xml:space="preserve">EF:B9</t>
  </si>
  <si>
    <t xml:space="preserve">EF:B10</t>
  </si>
  <si>
    <t xml:space="preserve">EF:B11</t>
  </si>
  <si>
    <t xml:space="preserve">EF:B12</t>
  </si>
  <si>
    <t xml:space="preserve">EF:B13</t>
  </si>
  <si>
    <t xml:space="preserve">SCOPE 3 EMISSIONS — CATEGORY BREAKDOWN — 2023</t>
  </si>
  <si>
    <t xml:space="preserve">Category</t>
  </si>
  <si>
    <t xml:space="preserve">Guadalajara
Gigafactory</t>
  </si>
  <si>
    <t xml:space="preserve">Shenzhen
Systems</t>
  </si>
  <si>
    <t xml:space="preserve">Wrocław
Precision</t>
  </si>
  <si>
    <t xml:space="preserve">Chennai
Circuitry</t>
  </si>
  <si>
    <t xml:space="preserve">── UPSTREAM ──</t>
  </si>
  <si>
    <t xml:space="preserve">Cat 1: Purchased Goods &amp; Services</t>
  </si>
  <si>
    <t xml:space="preserve">Cat 2: Capital Goods</t>
  </si>
  <si>
    <t xml:space="preserve">Cat 3: Fuel &amp; Energy-Related</t>
  </si>
  <si>
    <t xml:space="preserve">Cat 4: Upstream Transportation</t>
  </si>
  <si>
    <t xml:space="preserve">Cat 5: Waste Generated in Ops</t>
  </si>
  <si>
    <t xml:space="preserve">Cat 6: Business Travel</t>
  </si>
  <si>
    <t xml:space="preserve">Cat 7: Employee Commuting</t>
  </si>
  <si>
    <t xml:space="preserve">Cat 8: Upstream Leased Assets</t>
  </si>
  <si>
    <t xml:space="preserve">── DOWNSTREAM ──</t>
  </si>
  <si>
    <t xml:space="preserve">Cat 9: Downstream Transport</t>
  </si>
  <si>
    <t xml:space="preserve">Cat 10: Processing of Sold Prods</t>
  </si>
  <si>
    <t xml:space="preserve">Cat 11: Use of Sold Products</t>
  </si>
  <si>
    <t xml:space="preserve">Cat 12: End-of-Life Treatment</t>
  </si>
  <si>
    <t xml:space="preserve">Cat 13: Downstream Leased Assets</t>
  </si>
  <si>
    <t xml:space="preserve">Cat 14: Franchises</t>
  </si>
  <si>
    <t xml:space="preserve">Cat 15: Investments</t>
  </si>
  <si>
    <t xml:space="preserve">TOTAL SCOPE 3 (tCO2e)</t>
  </si>
  <si>
    <t xml:space="preserve">ENERGY MIX &amp; CONSUMPTION DETAIL — 2023</t>
  </si>
  <si>
    <t xml:space="preserve">Nat. Gas (MWh eq.)</t>
  </si>
  <si>
    <t xml:space="preserve">Diesel Stat. (MWh eq.)</t>
  </si>
  <si>
    <t xml:space="preserve">LPG (MWh eq.)</t>
  </si>
  <si>
    <t xml:space="preserve">Total Fossil Thermal
(MWh eq.)</t>
  </si>
  <si>
    <t xml:space="preserve">Grid Electricity
(MWh)</t>
  </si>
  <si>
    <t xml:space="preserve">Renewable Electricity
(MWh)</t>
  </si>
  <si>
    <t xml:space="preserve">Total Electricity
(MWh)</t>
  </si>
  <si>
    <t xml:space="preserve">Total Energy
(MWh eq.)</t>
  </si>
  <si>
    <t xml:space="preserve">THE CORPORATE — EMISSIONS &amp; ENERGY MASTER SUMMARY — 2023</t>
  </si>
  <si>
    <t xml:space="preserve">S1 Stationary
(tCO2e)</t>
  </si>
  <si>
    <t xml:space="preserve">S1 Mobile
(tCO2e)</t>
  </si>
  <si>
    <t xml:space="preserve">Total Scope 1
(tCO2e)</t>
  </si>
  <si>
    <t xml:space="preserve">S2 LB
(tCO2e)</t>
  </si>
  <si>
    <t xml:space="preserve">S2 MB
(tCO2e)</t>
  </si>
  <si>
    <t xml:space="preserve">S1+S2 LB
(tCO2e)</t>
  </si>
  <si>
    <t xml:space="preserve">Scope 3
(tCO2e)</t>
  </si>
  <si>
    <t xml:space="preserve">Total GHG LB
(tCO2e)</t>
  </si>
  <si>
    <t xml:space="preserve">Hanoi Hub (Vietnam)</t>
  </si>
  <si>
    <t xml:space="preserve">Guadalajara Gigafactory (Mexico)</t>
  </si>
  <si>
    <t xml:space="preserve">Shenzhen Systems (China)</t>
  </si>
  <si>
    <t xml:space="preserve">Wrocław Precision (Poland)</t>
  </si>
  <si>
    <t xml:space="preserve">Chennai Circuitry (India)</t>
  </si>
  <si>
    <t xml:space="preserve">COMPANY TOTAL</t>
  </si>
  <si>
    <t xml:space="preserve">KEY PERFORMANCE INDICATORS</t>
  </si>
  <si>
    <t xml:space="preserve">Total Scope 1+2 (LB) tCO2e</t>
  </si>
  <si>
    <t xml:space="preserve">Total Scope 3 tCO2e</t>
  </si>
  <si>
    <t xml:space="preserve">Total GHG (all scopes) tCO2e</t>
  </si>
  <si>
    <t xml:space="preserve">Total Electricity MWh</t>
  </si>
  <si>
    <t xml:space="preserve">Corporate Renewable %</t>
  </si>
  <si>
    <t xml:space="preserve">DATA DICTIONARY — THE CORPORATE EMISSIONS MODEL</t>
  </si>
  <si>
    <t xml:space="preserve">Field / Column</t>
  </si>
  <si>
    <t xml:space="preserve">Description</t>
  </si>
  <si>
    <t xml:space="preserve">Sheet</t>
  </si>
  <si>
    <t xml:space="preserve">Nat. Gas Consumed</t>
  </si>
  <si>
    <t xml:space="preserve">Volume of natural gas consumed in stationary combustion</t>
  </si>
  <si>
    <t xml:space="preserve">m³</t>
  </si>
  <si>
    <t xml:space="preserve">S1 Detail</t>
  </si>
  <si>
    <t xml:space="preserve">Boilers, furnaces, dryers</t>
  </si>
  <si>
    <t xml:space="preserve">Nat. Gas Emissions</t>
  </si>
  <si>
    <t xml:space="preserve">CO2e from natural gas × emission factor</t>
  </si>
  <si>
    <t xml:space="preserve">tCO2e</t>
  </si>
  <si>
    <t xml:space="preserve">EF: 0.002034 tCO2e/m³</t>
  </si>
  <si>
    <t xml:space="preserve">Diesel (Stationary)</t>
  </si>
  <si>
    <t xml:space="preserve">Diesel fuel for backup generators and stationary engines</t>
  </si>
  <si>
    <t xml:space="preserve">tonnes</t>
  </si>
  <si>
    <t xml:space="preserve">Key for Chennai (grid instability)</t>
  </si>
  <si>
    <t xml:space="preserve">Diesel (Mobile)</t>
  </si>
  <si>
    <t xml:space="preserve">Diesel for forklifts, on-site vehicles</t>
  </si>
  <si>
    <t xml:space="preserve">EF: 2.653 tCO2e/t</t>
  </si>
  <si>
    <t xml:space="preserve">Petrol (Mobile)</t>
  </si>
  <si>
    <t xml:space="preserve">Petrol/gasoline for on-site light vehicles</t>
  </si>
  <si>
    <t xml:space="preserve">EF: 2.31 tCO2e/t</t>
  </si>
  <si>
    <t xml:space="preserve">Total Stationary S1</t>
  </si>
  <si>
    <t xml:space="preserve">Sum of all stationary combustion emissions</t>
  </si>
  <si>
    <t xml:space="preserve">Formula: nat gas + diesel + LPG</t>
  </si>
  <si>
    <t xml:space="preserve">Total Mobile S1</t>
  </si>
  <si>
    <t xml:space="preserve">Sum of all mobile combustion emissions</t>
  </si>
  <si>
    <t xml:space="preserve">Formula: diesel mob + petrol mob</t>
  </si>
  <si>
    <t xml:space="preserve">Total Electricity</t>
  </si>
  <si>
    <t xml:space="preserve">Total electricity consumed (grid + renewables)</t>
  </si>
  <si>
    <t xml:space="preserve">MWh</t>
  </si>
  <si>
    <t xml:space="preserve">S2 Detail</t>
  </si>
  <si>
    <t xml:space="preserve">Includes PPA/REC volumes</t>
  </si>
  <si>
    <t xml:space="preserve">Grid Electricity</t>
  </si>
  <si>
    <t xml:space="preserve">Electricity from national grid (location-based)</t>
  </si>
  <si>
    <t xml:space="preserve">Grid elec = Total minus Renewables PPA</t>
  </si>
  <si>
    <t xml:space="preserve">Renewables PPA</t>
  </si>
  <si>
    <t xml:space="preserve">Electricity covered by PPAs or RECs</t>
  </si>
  <si>
    <t xml:space="preserve">Zero-carbon under market-based</t>
  </si>
  <si>
    <t xml:space="preserve">LB Emissions</t>
  </si>
  <si>
    <t xml:space="preserve">Location-based S2: all elec × country grid EF</t>
  </si>
  <si>
    <t xml:space="preserve">GHG Protocol location method</t>
  </si>
  <si>
    <t xml:space="preserve">MB Emissions</t>
  </si>
  <si>
    <t xml:space="preserve">Market-based S2: grid-only elec × country EF</t>
  </si>
  <si>
    <t xml:space="preserve">Renewables = 0 tCO2e/MWh</t>
  </si>
  <si>
    <t xml:space="preserve">Cat 1 — Purch. Goods</t>
  </si>
  <si>
    <t xml:space="preserve">Purchased raw materials: plastics, metals, chemicals</t>
  </si>
  <si>
    <t xml:space="preserve">S3 Detail</t>
  </si>
  <si>
    <t xml:space="preserve">Spend-based estimation</t>
  </si>
  <si>
    <t xml:space="preserve">Cat 4 — Upstream Tpt</t>
  </si>
  <si>
    <t xml:space="preserve">Inbound freight, logistics to facilities</t>
  </si>
  <si>
    <t xml:space="preserve">Distance × weight method</t>
  </si>
  <si>
    <t xml:space="preserve">Cat 11 — Use of Prods</t>
  </si>
  <si>
    <t xml:space="preserve">In-use electricity consumption of sold chargers/batteries</t>
  </si>
  <si>
    <t xml:space="preserve">Largest downstream category</t>
  </si>
  <si>
    <t xml:space="preserve">Natural gas volume converted to MWh equivalent</t>
  </si>
  <si>
    <t xml:space="preserve">Energy Mix</t>
  </si>
  <si>
    <t xml:space="preserve">Factor: 0.01055 MWh/m³ (HHV)</t>
  </si>
  <si>
    <t xml:space="preserve">Diesel (MWh eq.)</t>
  </si>
  <si>
    <t xml:space="preserve">Diesel converted to MWh equivalent</t>
  </si>
  <si>
    <t xml:space="preserve">Factor: 11.63 MWh/tonne</t>
  </si>
  <si>
    <t xml:space="preserve">LPG converted to MWh equivalent</t>
  </si>
  <si>
    <t xml:space="preserve">Factor: 13.10 MWh/tonne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</si>
</sst>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.00"/>
    <numFmt numFmtId="167" formatCode="\$#,##0"/>
    <numFmt numFmtId="168" formatCode="0"/>
    <numFmt numFmtId="169" formatCode="0.0%"/>
    <numFmt numFmtId="170" formatCode="#,##0.00"/>
    <numFmt numFmtId="171" formatCode="#,##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2F2F2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0"/>
      <color rgb="FFF2F2F2"/>
      <name val="Arial"/>
      <family val="0"/>
      <charset val="1"/>
    </font>
    <font>
      <b val="true"/>
      <sz val="9"/>
      <color rgb="FFF2F2F2"/>
      <name val="Arial"/>
      <family val="0"/>
      <charset val="1"/>
    </font>
    <font>
      <sz val="9"/>
      <color rgb="FFB6B09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1B4332"/>
      <name val="Arial"/>
      <family val="0"/>
      <charset val="1"/>
    </font>
    <font>
      <i val="true"/>
      <sz val="8"/>
      <color rgb="FFB6B09F"/>
      <name val="Arial"/>
      <family val="0"/>
      <charset val="1"/>
    </font>
    <font>
      <b val="true"/>
      <sz val="9"/>
      <color rgb="FF5C3D00"/>
      <name val="Arial"/>
      <family val="0"/>
      <charset val="1"/>
    </font>
    <font>
      <b val="true"/>
      <sz val="9"/>
      <color rgb="FF495057"/>
      <name val="Arial"/>
      <family val="0"/>
      <charset val="1"/>
    </font>
    <font>
      <b val="true"/>
      <sz val="9"/>
      <color rgb="FF6C2E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3"/>
      <color rgb="FFF2F2F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AE4D5"/>
        <bgColor rgb="FFFDE8D8"/>
      </patternFill>
    </fill>
    <fill>
      <patternFill patternType="solid">
        <fgColor rgb="FFFFFFFF"/>
        <bgColor rgb="FFF2F2F2"/>
      </patternFill>
    </fill>
    <fill>
      <patternFill patternType="solid">
        <fgColor rgb="FFD8F3DC"/>
        <bgColor rgb="FFEAE4D5"/>
      </patternFill>
    </fill>
    <fill>
      <patternFill patternType="solid">
        <fgColor rgb="FFF2F2F2"/>
        <bgColor rgb="FFFFFFFF"/>
      </patternFill>
    </fill>
    <fill>
      <patternFill patternType="solid">
        <fgColor rgb="FFFFF3CD"/>
        <bgColor rgb="FFFDE8D8"/>
      </patternFill>
    </fill>
    <fill>
      <patternFill patternType="solid">
        <fgColor rgb="FFFDE8D8"/>
        <bgColor rgb="FFFFF3CD"/>
      </patternFill>
    </fill>
    <fill>
      <patternFill patternType="solid">
        <fgColor rgb="FFB6B09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B09F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EAE4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DE8D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95057"/>
      <rgbColor rgb="FF969696"/>
      <rgbColor rgb="FF003366"/>
      <rgbColor rgb="FF339966"/>
      <rgbColor rgb="FF003300"/>
      <rgbColor rgb="FF5C3D00"/>
      <rgbColor rgb="FF6C2E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1" min="10" style="0" width="18"/>
    <col collapsed="false" customWidth="true" hidden="false" outlineLevel="0" max="12" min="12" style="0" width="28"/>
    <col collapsed="false" customWidth="true" hidden="false" outlineLevel="0" max="13" min="13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2" t="s">
        <v>7</v>
      </c>
      <c r="H2" s="3" t="s">
        <v>8</v>
      </c>
      <c r="I2" s="2" t="s">
        <v>9</v>
      </c>
      <c r="J2" s="3" t="s">
        <v>10</v>
      </c>
      <c r="K2" s="2" t="s">
        <v>11</v>
      </c>
      <c r="L2" s="3" t="s">
        <v>12</v>
      </c>
    </row>
    <row r="3" customFormat="false" ht="36" hidden="false" customHeight="tru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</row>
    <row r="4" customFormat="false" ht="18" hidden="false" customHeight="true" outlineLevel="0" collapsed="false">
      <c r="A4" s="5" t="s">
        <v>26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42" hidden="false" customHeight="true" outlineLevel="0" collapsed="false">
      <c r="A5" s="6" t="n">
        <v>1</v>
      </c>
      <c r="B5" s="7" t="s">
        <v>27</v>
      </c>
      <c r="C5" s="7" t="s">
        <v>28</v>
      </c>
      <c r="D5" s="7" t="s">
        <v>29</v>
      </c>
      <c r="E5" s="8" t="s">
        <v>30</v>
      </c>
      <c r="F5" s="9" t="n">
        <v>90000</v>
      </c>
      <c r="G5" s="10" t="n">
        <v>0</v>
      </c>
      <c r="H5" s="11" t="n">
        <v>-30</v>
      </c>
      <c r="I5" s="10" t="n">
        <v>2.7</v>
      </c>
      <c r="J5" s="12" t="n">
        <v>2025</v>
      </c>
      <c r="K5" s="12" t="n">
        <v>2027</v>
      </c>
      <c r="L5" s="13" t="s">
        <v>31</v>
      </c>
      <c r="M5" s="14" t="s">
        <v>32</v>
      </c>
    </row>
    <row r="6" customFormat="false" ht="42" hidden="false" customHeight="true" outlineLevel="0" collapsed="false">
      <c r="A6" s="15" t="n">
        <v>2</v>
      </c>
      <c r="B6" s="16" t="s">
        <v>33</v>
      </c>
      <c r="C6" s="16" t="s">
        <v>34</v>
      </c>
      <c r="D6" s="16" t="s">
        <v>29</v>
      </c>
      <c r="E6" s="17" t="s">
        <v>35</v>
      </c>
      <c r="F6" s="18" t="n">
        <v>15000</v>
      </c>
      <c r="G6" s="19" t="n">
        <v>0.45</v>
      </c>
      <c r="H6" s="20" t="n">
        <v>-45</v>
      </c>
      <c r="I6" s="19" t="n">
        <v>0.68</v>
      </c>
      <c r="J6" s="21" t="n">
        <v>2025</v>
      </c>
      <c r="K6" s="21" t="n">
        <v>2026</v>
      </c>
      <c r="L6" s="22" t="s">
        <v>36</v>
      </c>
      <c r="M6" s="23" t="s">
        <v>37</v>
      </c>
    </row>
    <row r="7" customFormat="false" ht="42" hidden="false" customHeight="true" outlineLevel="0" collapsed="false">
      <c r="A7" s="6" t="n">
        <v>3</v>
      </c>
      <c r="B7" s="7" t="s">
        <v>38</v>
      </c>
      <c r="C7" s="7" t="s">
        <v>34</v>
      </c>
      <c r="D7" s="7" t="s">
        <v>29</v>
      </c>
      <c r="E7" s="24" t="s">
        <v>39</v>
      </c>
      <c r="F7" s="9" t="n">
        <v>12000</v>
      </c>
      <c r="G7" s="10" t="n">
        <v>0.15</v>
      </c>
      <c r="H7" s="11" t="n">
        <v>-65</v>
      </c>
      <c r="I7" s="10" t="n">
        <v>0.78</v>
      </c>
      <c r="J7" s="12" t="n">
        <v>2025</v>
      </c>
      <c r="K7" s="12" t="n">
        <v>2026</v>
      </c>
      <c r="L7" s="13" t="s">
        <v>40</v>
      </c>
      <c r="M7" s="14" t="s">
        <v>41</v>
      </c>
    </row>
    <row r="8" customFormat="false" ht="42" hidden="false" customHeight="true" outlineLevel="0" collapsed="false">
      <c r="A8" s="15" t="n">
        <v>4</v>
      </c>
      <c r="B8" s="16" t="s">
        <v>42</v>
      </c>
      <c r="C8" s="16" t="s">
        <v>34</v>
      </c>
      <c r="D8" s="16" t="s">
        <v>29</v>
      </c>
      <c r="E8" s="17" t="s">
        <v>35</v>
      </c>
      <c r="F8" s="18" t="n">
        <v>25000</v>
      </c>
      <c r="G8" s="19" t="n">
        <v>1.2</v>
      </c>
      <c r="H8" s="20" t="n">
        <v>-25</v>
      </c>
      <c r="I8" s="19" t="n">
        <v>0.63</v>
      </c>
      <c r="J8" s="21" t="n">
        <v>2025</v>
      </c>
      <c r="K8" s="21" t="n">
        <v>2027</v>
      </c>
      <c r="L8" s="22" t="s">
        <v>43</v>
      </c>
      <c r="M8" s="23" t="s">
        <v>44</v>
      </c>
    </row>
    <row r="9" customFormat="false" ht="42" hidden="false" customHeight="true" outlineLevel="0" collapsed="false">
      <c r="A9" s="6" t="n">
        <v>5</v>
      </c>
      <c r="B9" s="7" t="s">
        <v>45</v>
      </c>
      <c r="C9" s="7" t="s">
        <v>34</v>
      </c>
      <c r="D9" s="7" t="s">
        <v>29</v>
      </c>
      <c r="E9" s="8" t="s">
        <v>30</v>
      </c>
      <c r="F9" s="9" t="n">
        <v>33000</v>
      </c>
      <c r="G9" s="10" t="n">
        <v>2.1</v>
      </c>
      <c r="H9" s="11" t="n">
        <v>-15</v>
      </c>
      <c r="I9" s="10" t="n">
        <v>0.5</v>
      </c>
      <c r="J9" s="12" t="n">
        <v>2025</v>
      </c>
      <c r="K9" s="12" t="n">
        <v>2027</v>
      </c>
      <c r="L9" s="13" t="s">
        <v>36</v>
      </c>
      <c r="M9" s="14" t="s">
        <v>46</v>
      </c>
    </row>
    <row r="10" customFormat="false" ht="42" hidden="false" customHeight="true" outlineLevel="0" collapsed="false">
      <c r="A10" s="15" t="n">
        <v>6</v>
      </c>
      <c r="B10" s="16" t="s">
        <v>47</v>
      </c>
      <c r="C10" s="16" t="s">
        <v>48</v>
      </c>
      <c r="D10" s="16" t="s">
        <v>29</v>
      </c>
      <c r="E10" s="8" t="s">
        <v>30</v>
      </c>
      <c r="F10" s="18" t="n">
        <v>45000</v>
      </c>
      <c r="G10" s="19" t="n">
        <v>5.4</v>
      </c>
      <c r="H10" s="20" t="n">
        <v>5</v>
      </c>
      <c r="I10" s="19" t="n">
        <v>-0.3</v>
      </c>
      <c r="J10" s="21" t="n">
        <v>2025</v>
      </c>
      <c r="K10" s="21" t="n">
        <v>2027</v>
      </c>
      <c r="L10" s="22" t="s">
        <v>49</v>
      </c>
      <c r="M10" s="23" t="s">
        <v>50</v>
      </c>
    </row>
    <row r="11" customFormat="false" ht="42" hidden="false" customHeight="true" outlineLevel="0" collapsed="false">
      <c r="A11" s="6" t="n">
        <v>7</v>
      </c>
      <c r="B11" s="7" t="s">
        <v>51</v>
      </c>
      <c r="C11" s="7" t="s">
        <v>52</v>
      </c>
      <c r="D11" s="7" t="s">
        <v>29</v>
      </c>
      <c r="E11" s="24" t="s">
        <v>39</v>
      </c>
      <c r="F11" s="9" t="n">
        <v>10000</v>
      </c>
      <c r="G11" s="10" t="n">
        <v>1.2</v>
      </c>
      <c r="H11" s="11" t="n">
        <v>15</v>
      </c>
      <c r="I11" s="10" t="n">
        <v>0.12</v>
      </c>
      <c r="J11" s="12" t="n">
        <v>2026</v>
      </c>
      <c r="K11" s="12" t="n">
        <v>2027</v>
      </c>
      <c r="L11" s="13" t="s">
        <v>53</v>
      </c>
      <c r="M11" s="14" t="s">
        <v>54</v>
      </c>
    </row>
    <row r="12" customFormat="false" ht="18" hidden="false" customHeight="true" outlineLevel="0" collapsed="false">
      <c r="A12" s="5" t="s">
        <v>55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42" hidden="false" customHeight="true" outlineLevel="0" collapsed="false">
      <c r="A13" s="15" t="n">
        <v>8</v>
      </c>
      <c r="B13" s="16" t="s">
        <v>56</v>
      </c>
      <c r="C13" s="16" t="s">
        <v>48</v>
      </c>
      <c r="D13" s="16" t="s">
        <v>57</v>
      </c>
      <c r="E13" s="17" t="s">
        <v>35</v>
      </c>
      <c r="F13" s="18" t="n">
        <v>70000</v>
      </c>
      <c r="G13" s="19" t="n">
        <v>0</v>
      </c>
      <c r="H13" s="20" t="n">
        <v>20</v>
      </c>
      <c r="I13" s="19" t="n">
        <v>-0.4</v>
      </c>
      <c r="J13" s="21" t="n">
        <v>2028</v>
      </c>
      <c r="K13" s="21" t="n">
        <v>2032</v>
      </c>
      <c r="L13" s="22" t="s">
        <v>58</v>
      </c>
      <c r="M13" s="23" t="s">
        <v>59</v>
      </c>
    </row>
    <row r="14" customFormat="false" ht="42" hidden="false" customHeight="true" outlineLevel="0" collapsed="false">
      <c r="A14" s="6" t="n">
        <v>9</v>
      </c>
      <c r="B14" s="7" t="s">
        <v>60</v>
      </c>
      <c r="C14" s="7" t="s">
        <v>28</v>
      </c>
      <c r="D14" s="7" t="s">
        <v>57</v>
      </c>
      <c r="E14" s="24" t="s">
        <v>39</v>
      </c>
      <c r="F14" s="9" t="n">
        <v>75000</v>
      </c>
      <c r="G14" s="10" t="n">
        <v>0.5</v>
      </c>
      <c r="H14" s="11" t="n">
        <v>25</v>
      </c>
      <c r="I14" s="10" t="n">
        <v>0</v>
      </c>
      <c r="J14" s="12" t="n">
        <v>2028</v>
      </c>
      <c r="K14" s="12" t="n">
        <v>2032</v>
      </c>
      <c r="L14" s="13" t="s">
        <v>61</v>
      </c>
      <c r="M14" s="14" t="s">
        <v>62</v>
      </c>
    </row>
    <row r="15" customFormat="false" ht="42" hidden="false" customHeight="true" outlineLevel="0" collapsed="false">
      <c r="A15" s="15" t="n">
        <v>10</v>
      </c>
      <c r="B15" s="16" t="s">
        <v>63</v>
      </c>
      <c r="C15" s="16" t="s">
        <v>28</v>
      </c>
      <c r="D15" s="16" t="s">
        <v>57</v>
      </c>
      <c r="E15" s="24" t="s">
        <v>39</v>
      </c>
      <c r="F15" s="18" t="n">
        <v>80000</v>
      </c>
      <c r="G15" s="19" t="n">
        <v>0</v>
      </c>
      <c r="H15" s="20" t="n">
        <v>55</v>
      </c>
      <c r="I15" s="19" t="n">
        <v>0</v>
      </c>
      <c r="J15" s="21" t="n">
        <v>2028</v>
      </c>
      <c r="K15" s="21" t="n">
        <v>2032</v>
      </c>
      <c r="L15" s="22" t="s">
        <v>53</v>
      </c>
      <c r="M15" s="23" t="s">
        <v>64</v>
      </c>
    </row>
    <row r="16" customFormat="false" ht="42" hidden="false" customHeight="true" outlineLevel="0" collapsed="false">
      <c r="A16" s="6" t="n">
        <v>11</v>
      </c>
      <c r="B16" s="7" t="s">
        <v>65</v>
      </c>
      <c r="C16" s="7" t="s">
        <v>28</v>
      </c>
      <c r="D16" s="7" t="s">
        <v>57</v>
      </c>
      <c r="E16" s="17" t="s">
        <v>35</v>
      </c>
      <c r="F16" s="9" t="n">
        <v>140000</v>
      </c>
      <c r="G16" s="10" t="n">
        <v>0</v>
      </c>
      <c r="H16" s="11" t="n">
        <v>80</v>
      </c>
      <c r="I16" s="10" t="n">
        <v>0</v>
      </c>
      <c r="J16" s="12" t="n">
        <v>2028</v>
      </c>
      <c r="K16" s="12" t="n">
        <v>2032</v>
      </c>
      <c r="L16" s="13" t="s">
        <v>66</v>
      </c>
      <c r="M16" s="14" t="s">
        <v>67</v>
      </c>
    </row>
    <row r="17" customFormat="false" ht="42" hidden="false" customHeight="true" outlineLevel="0" collapsed="false">
      <c r="A17" s="15" t="n">
        <v>12</v>
      </c>
      <c r="B17" s="16" t="s">
        <v>68</v>
      </c>
      <c r="C17" s="16" t="s">
        <v>52</v>
      </c>
      <c r="D17" s="16" t="s">
        <v>57</v>
      </c>
      <c r="E17" s="24" t="s">
        <v>39</v>
      </c>
      <c r="F17" s="18" t="n">
        <v>35000</v>
      </c>
      <c r="G17" s="19" t="n">
        <v>6.5</v>
      </c>
      <c r="H17" s="20" t="n">
        <v>85</v>
      </c>
      <c r="I17" s="19" t="n">
        <v>0.35</v>
      </c>
      <c r="J17" s="21" t="n">
        <v>2028</v>
      </c>
      <c r="K17" s="21" t="n">
        <v>2032</v>
      </c>
      <c r="L17" s="22" t="s">
        <v>69</v>
      </c>
      <c r="M17" s="23" t="s">
        <v>70</v>
      </c>
    </row>
    <row r="18" customFormat="false" ht="18" hidden="false" customHeight="true" outlineLevel="0" collapsed="false">
      <c r="A18" s="5" t="s">
        <v>71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42" hidden="false" customHeight="true" outlineLevel="0" collapsed="false">
      <c r="A19" s="6" t="n">
        <v>13</v>
      </c>
      <c r="B19" s="7" t="s">
        <v>72</v>
      </c>
      <c r="C19" s="7" t="s">
        <v>28</v>
      </c>
      <c r="D19" s="7" t="s">
        <v>73</v>
      </c>
      <c r="E19" s="25" t="s">
        <v>74</v>
      </c>
      <c r="F19" s="9" t="n">
        <v>55000</v>
      </c>
      <c r="G19" s="10" t="n">
        <v>0</v>
      </c>
      <c r="H19" s="11" t="n">
        <v>100</v>
      </c>
      <c r="I19" s="10" t="n">
        <v>0</v>
      </c>
      <c r="J19" s="12" t="n">
        <v>2033</v>
      </c>
      <c r="K19" s="12" t="n">
        <v>2040</v>
      </c>
      <c r="L19" s="13" t="s">
        <v>75</v>
      </c>
      <c r="M19" s="14" t="s">
        <v>76</v>
      </c>
    </row>
    <row r="20" customFormat="false" ht="18" hidden="false" customHeight="true" outlineLevel="0" collapsed="false">
      <c r="A20" s="5" t="s">
        <v>77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customFormat="false" ht="42" hidden="false" customHeight="true" outlineLevel="0" collapsed="false">
      <c r="A21" s="15" t="n">
        <v>14</v>
      </c>
      <c r="B21" s="16" t="s">
        <v>78</v>
      </c>
      <c r="C21" s="16" t="s">
        <v>79</v>
      </c>
      <c r="D21" s="16" t="s">
        <v>80</v>
      </c>
      <c r="E21" s="24" t="s">
        <v>39</v>
      </c>
      <c r="F21" s="18" t="n">
        <v>458808</v>
      </c>
      <c r="G21" s="19" t="n">
        <v>0</v>
      </c>
      <c r="H21" s="20" t="n">
        <v>200</v>
      </c>
      <c r="I21" s="19" t="n">
        <v>0</v>
      </c>
      <c r="J21" s="21" t="n">
        <v>2041</v>
      </c>
      <c r="K21" s="21" t="n">
        <v>2045</v>
      </c>
      <c r="L21" s="22" t="s">
        <v>81</v>
      </c>
      <c r="M21" s="23" t="s">
        <v>82</v>
      </c>
    </row>
    <row r="23" customFormat="false" ht="18" hidden="false" customHeight="true" outlineLevel="0" collapsed="false">
      <c r="A23" s="5" t="s">
        <v>83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customFormat="false" ht="18" hidden="false" customHeight="true" outlineLevel="0" collapsed="false">
      <c r="A24" s="26"/>
      <c r="B24" s="27" t="s">
        <v>84</v>
      </c>
      <c r="C24" s="27"/>
      <c r="D24" s="27"/>
      <c r="E24" s="27"/>
      <c r="F24" s="28" t="n">
        <f aca="false">F5+F6+F7+F8+F9+F10+F11</f>
        <v>230000</v>
      </c>
      <c r="G24" s="29" t="n">
        <f aca="false">G5+G6+G7+G8+G9+G10+G11</f>
        <v>10.5</v>
      </c>
      <c r="H24" s="26"/>
      <c r="I24" s="29" t="n">
        <f aca="false">I5+I6+I7+I8+I9+I10+I11</f>
        <v>5.11</v>
      </c>
      <c r="J24" s="26"/>
      <c r="K24" s="26"/>
      <c r="L24" s="26"/>
      <c r="M24" s="26"/>
    </row>
    <row r="25" customFormat="false" ht="18" hidden="false" customHeight="true" outlineLevel="0" collapsed="false">
      <c r="A25" s="30"/>
      <c r="B25" s="31" t="s">
        <v>85</v>
      </c>
      <c r="C25" s="31"/>
      <c r="D25" s="31"/>
      <c r="E25" s="31"/>
      <c r="F25" s="32" t="n">
        <f aca="false">F13+F14+F15+F16+F17</f>
        <v>400000</v>
      </c>
      <c r="G25" s="33" t="n">
        <f aca="false">G13+G14+G15+G16+G17</f>
        <v>7</v>
      </c>
      <c r="H25" s="30"/>
      <c r="I25" s="33" t="n">
        <f aca="false">I13+I14+I15+I16+I17</f>
        <v>-0.05</v>
      </c>
      <c r="J25" s="30"/>
      <c r="K25" s="30"/>
      <c r="L25" s="30"/>
      <c r="M25" s="30"/>
    </row>
    <row r="26" customFormat="false" ht="18" hidden="false" customHeight="true" outlineLevel="0" collapsed="false">
      <c r="A26" s="26"/>
      <c r="B26" s="27" t="s">
        <v>86</v>
      </c>
      <c r="C26" s="27"/>
      <c r="D26" s="27"/>
      <c r="E26" s="27"/>
      <c r="F26" s="28" t="n">
        <f aca="false">F19</f>
        <v>55000</v>
      </c>
      <c r="G26" s="29" t="n">
        <f aca="false">G19</f>
        <v>0</v>
      </c>
      <c r="H26" s="26"/>
      <c r="I26" s="29" t="n">
        <f aca="false">I19</f>
        <v>0</v>
      </c>
      <c r="J26" s="26"/>
      <c r="K26" s="26"/>
      <c r="L26" s="26"/>
      <c r="M26" s="26"/>
    </row>
    <row r="27" customFormat="false" ht="19.5" hidden="false" customHeight="true" outlineLevel="0" collapsed="false">
      <c r="A27" s="34"/>
      <c r="B27" s="35" t="s">
        <v>87</v>
      </c>
      <c r="C27" s="35"/>
      <c r="D27" s="35"/>
      <c r="E27" s="35"/>
      <c r="F27" s="36" t="n">
        <f aca="false">F5+F6+F7+F8+F9+F10+F11+F13+F14+F15+F16+F17+F19</f>
        <v>685000</v>
      </c>
      <c r="G27" s="37" t="n">
        <f aca="false">G5+G6+G7+G8+G9+G10+G11+G13+G14+G15+G16+G17+G19</f>
        <v>17.5</v>
      </c>
      <c r="H27" s="34"/>
      <c r="I27" s="37" t="n">
        <f aca="false">I5+I6+I7+I8+I9+I10+I11+I13+I14+I15+I16+I17+I19</f>
        <v>5.06</v>
      </c>
      <c r="J27" s="34"/>
      <c r="K27" s="34"/>
      <c r="L27" s="34"/>
      <c r="M27" s="34"/>
    </row>
    <row r="29" customFormat="false" ht="18" hidden="false" customHeight="true" outlineLevel="0" collapsed="false">
      <c r="A29" s="35" t="s">
        <v>88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customFormat="false" ht="18" hidden="false" customHeight="true" outlineLevel="0" collapsed="false">
      <c r="A30" s="38"/>
      <c r="B30" s="39" t="s">
        <v>89</v>
      </c>
      <c r="C30" s="39"/>
      <c r="D30" s="39"/>
      <c r="E30" s="39"/>
      <c r="F30" s="40" t="n">
        <v>4588079</v>
      </c>
      <c r="G30" s="38"/>
      <c r="H30" s="38"/>
      <c r="I30" s="38"/>
      <c r="J30" s="38"/>
      <c r="K30" s="38"/>
      <c r="L30" s="38"/>
      <c r="M30" s="38"/>
    </row>
    <row r="31" customFormat="false" ht="18" hidden="false" customHeight="true" outlineLevel="0" collapsed="false">
      <c r="A31" s="30"/>
      <c r="B31" s="41" t="s">
        <v>90</v>
      </c>
      <c r="C31" s="41"/>
      <c r="D31" s="41"/>
      <c r="E31" s="41"/>
      <c r="F31" s="42" t="n">
        <v>635000</v>
      </c>
      <c r="G31" s="30"/>
      <c r="H31" s="30"/>
      <c r="I31" s="30"/>
      <c r="J31" s="30"/>
      <c r="K31" s="30"/>
      <c r="L31" s="30"/>
      <c r="M31" s="30"/>
    </row>
    <row r="32" customFormat="false" ht="18" hidden="false" customHeight="true" outlineLevel="0" collapsed="false">
      <c r="A32" s="30"/>
      <c r="B32" s="41" t="s">
        <v>91</v>
      </c>
      <c r="C32" s="41"/>
      <c r="D32" s="41"/>
      <c r="E32" s="41"/>
      <c r="F32" s="42" t="n">
        <v>458808</v>
      </c>
      <c r="G32" s="30"/>
      <c r="H32" s="30"/>
      <c r="I32" s="30"/>
      <c r="J32" s="30"/>
      <c r="K32" s="30"/>
      <c r="L32" s="30"/>
      <c r="M32" s="30"/>
    </row>
    <row r="33" customFormat="false" ht="18" hidden="false" customHeight="true" outlineLevel="0" collapsed="false">
      <c r="A33" s="43"/>
      <c r="B33" s="44" t="s">
        <v>92</v>
      </c>
      <c r="C33" s="44"/>
      <c r="D33" s="44"/>
      <c r="E33" s="44"/>
      <c r="F33" s="45" t="n">
        <v>3494271</v>
      </c>
      <c r="G33" s="43"/>
      <c r="H33" s="43"/>
      <c r="I33" s="43"/>
      <c r="J33" s="43"/>
      <c r="K33" s="43"/>
      <c r="L33" s="43"/>
      <c r="M33" s="43"/>
    </row>
    <row r="34" customFormat="false" ht="18" hidden="false" customHeight="true" outlineLevel="0" collapsed="false">
      <c r="A34" s="38"/>
      <c r="B34" s="39" t="s">
        <v>93</v>
      </c>
      <c r="C34" s="39"/>
      <c r="D34" s="39"/>
      <c r="E34" s="39"/>
      <c r="F34" s="46" t="n">
        <v>0.138</v>
      </c>
      <c r="G34" s="38"/>
      <c r="H34" s="38"/>
      <c r="I34" s="38"/>
      <c r="J34" s="38"/>
      <c r="K34" s="38"/>
      <c r="L34" s="38"/>
      <c r="M34" s="38"/>
    </row>
    <row r="36" customFormat="false" ht="15" hidden="false" customHeight="false" outlineLevel="0" collapsed="false">
      <c r="A36" s="47" t="s">
        <v>94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</sheetData>
  <mergeCells count="17">
    <mergeCell ref="A1:M1"/>
    <mergeCell ref="A4:M4"/>
    <mergeCell ref="A12:M12"/>
    <mergeCell ref="A18:M18"/>
    <mergeCell ref="A20:M20"/>
    <mergeCell ref="A23:M23"/>
    <mergeCell ref="B24:E24"/>
    <mergeCell ref="B25:E25"/>
    <mergeCell ref="B26:E26"/>
    <mergeCell ref="B27:E27"/>
    <mergeCell ref="A29:M29"/>
    <mergeCell ref="B30:E30"/>
    <mergeCell ref="B31:E31"/>
    <mergeCell ref="B32:E32"/>
    <mergeCell ref="B33:E33"/>
    <mergeCell ref="B34:E34"/>
    <mergeCell ref="A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8" width="36"/>
    <col collapsed="false" customWidth="true" hidden="false" outlineLevel="0" max="2" min="2" style="48" width="18"/>
    <col collapsed="false" customWidth="true" hidden="false" outlineLevel="0" max="3" min="3" style="48" width="14"/>
    <col collapsed="false" customWidth="true" hidden="false" outlineLevel="0" max="4" min="4" style="48" width="24"/>
    <col collapsed="false" customWidth="true" hidden="false" outlineLevel="0" max="5" min="5" style="48" width="36"/>
  </cols>
  <sheetData>
    <row r="1" customFormat="false" ht="27.75" hidden="false" customHeight="true" outlineLevel="0" collapsed="false">
      <c r="A1" s="1" t="s">
        <v>95</v>
      </c>
      <c r="B1" s="1"/>
      <c r="C1" s="1"/>
      <c r="D1" s="1"/>
      <c r="E1" s="1"/>
    </row>
    <row r="2" customFormat="false" ht="15" hidden="false" customHeight="true" outlineLevel="0" collapsed="false">
      <c r="A2" s="49" t="s">
        <v>96</v>
      </c>
      <c r="B2" s="50" t="s">
        <v>97</v>
      </c>
      <c r="C2" s="50" t="s">
        <v>98</v>
      </c>
      <c r="D2" s="50" t="s">
        <v>99</v>
      </c>
      <c r="E2" s="49" t="s">
        <v>100</v>
      </c>
    </row>
    <row r="3" customFormat="false" ht="15" hidden="false" customHeight="true" outlineLevel="0" collapsed="false">
      <c r="A3" s="51" t="s">
        <v>101</v>
      </c>
      <c r="B3" s="52" t="n">
        <v>0.002034</v>
      </c>
      <c r="C3" s="53" t="s">
        <v>102</v>
      </c>
      <c r="D3" s="53" t="s">
        <v>103</v>
      </c>
      <c r="E3" s="53" t="s">
        <v>104</v>
      </c>
    </row>
    <row r="4" customFormat="false" ht="15" hidden="false" customHeight="true" outlineLevel="0" collapsed="false">
      <c r="A4" s="54" t="s">
        <v>105</v>
      </c>
      <c r="B4" s="55" t="n">
        <v>2.68</v>
      </c>
      <c r="C4" s="56" t="s">
        <v>106</v>
      </c>
      <c r="D4" s="56" t="s">
        <v>103</v>
      </c>
      <c r="E4" s="56" t="s">
        <v>107</v>
      </c>
    </row>
    <row r="5" customFormat="false" ht="15" hidden="false" customHeight="true" outlineLevel="0" collapsed="false">
      <c r="A5" s="51" t="s">
        <v>108</v>
      </c>
      <c r="B5" s="52" t="n">
        <v>1.54</v>
      </c>
      <c r="C5" s="53" t="s">
        <v>106</v>
      </c>
      <c r="D5" s="53" t="s">
        <v>103</v>
      </c>
      <c r="E5" s="53" t="s">
        <v>109</v>
      </c>
    </row>
    <row r="6" customFormat="false" ht="15" hidden="false" customHeight="true" outlineLevel="0" collapsed="false">
      <c r="A6" s="54" t="s">
        <v>110</v>
      </c>
      <c r="B6" s="55" t="n">
        <v>2.42</v>
      </c>
      <c r="C6" s="56" t="s">
        <v>106</v>
      </c>
      <c r="D6" s="56" t="s">
        <v>103</v>
      </c>
      <c r="E6" s="56" t="s">
        <v>111</v>
      </c>
    </row>
    <row r="7" customFormat="false" ht="15" hidden="false" customHeight="true" outlineLevel="0" collapsed="false">
      <c r="A7" s="51" t="s">
        <v>112</v>
      </c>
      <c r="B7" s="52" t="n">
        <v>2.653</v>
      </c>
      <c r="C7" s="53" t="s">
        <v>106</v>
      </c>
      <c r="D7" s="53" t="s">
        <v>113</v>
      </c>
      <c r="E7" s="53" t="s">
        <v>114</v>
      </c>
    </row>
    <row r="8" customFormat="false" ht="15" hidden="false" customHeight="true" outlineLevel="0" collapsed="false">
      <c r="A8" s="54" t="s">
        <v>115</v>
      </c>
      <c r="B8" s="55" t="n">
        <v>2.31</v>
      </c>
      <c r="C8" s="56" t="s">
        <v>106</v>
      </c>
      <c r="D8" s="56" t="s">
        <v>113</v>
      </c>
      <c r="E8" s="56" t="s">
        <v>114</v>
      </c>
    </row>
    <row r="9" customFormat="false" ht="15" hidden="false" customHeight="true" outlineLevel="0" collapsed="false">
      <c r="A9" s="51" t="s">
        <v>116</v>
      </c>
      <c r="B9" s="52" t="n">
        <v>0.4936</v>
      </c>
      <c r="C9" s="53" t="s">
        <v>117</v>
      </c>
      <c r="D9" s="53" t="s">
        <v>118</v>
      </c>
      <c r="E9" s="53" t="s">
        <v>119</v>
      </c>
    </row>
    <row r="10" customFormat="false" ht="15" hidden="false" customHeight="true" outlineLevel="0" collapsed="false">
      <c r="A10" s="54" t="s">
        <v>120</v>
      </c>
      <c r="B10" s="55" t="n">
        <v>0.454</v>
      </c>
      <c r="C10" s="56" t="s">
        <v>117</v>
      </c>
      <c r="D10" s="56" t="s">
        <v>118</v>
      </c>
      <c r="E10" s="56" t="s">
        <v>121</v>
      </c>
    </row>
    <row r="11" customFormat="false" ht="15" hidden="false" customHeight="true" outlineLevel="0" collapsed="false">
      <c r="A11" s="51" t="s">
        <v>122</v>
      </c>
      <c r="B11" s="52" t="n">
        <v>0.581</v>
      </c>
      <c r="C11" s="53" t="s">
        <v>117</v>
      </c>
      <c r="D11" s="53" t="s">
        <v>118</v>
      </c>
      <c r="E11" s="53" t="s">
        <v>123</v>
      </c>
    </row>
    <row r="12" customFormat="false" ht="15" hidden="false" customHeight="true" outlineLevel="0" collapsed="false">
      <c r="A12" s="54" t="s">
        <v>124</v>
      </c>
      <c r="B12" s="55" t="n">
        <v>0.726</v>
      </c>
      <c r="C12" s="56" t="s">
        <v>117</v>
      </c>
      <c r="D12" s="56" t="s">
        <v>118</v>
      </c>
      <c r="E12" s="56" t="s">
        <v>125</v>
      </c>
    </row>
    <row r="13" customFormat="false" ht="15" hidden="false" customHeight="true" outlineLevel="0" collapsed="false">
      <c r="A13" s="51" t="s">
        <v>126</v>
      </c>
      <c r="B13" s="52" t="n">
        <v>0.708</v>
      </c>
      <c r="C13" s="53" t="s">
        <v>117</v>
      </c>
      <c r="D13" s="53" t="s">
        <v>118</v>
      </c>
      <c r="E13" s="53" t="s">
        <v>127</v>
      </c>
    </row>
    <row r="14" customFormat="false" ht="15" hidden="false" customHeight="true" outlineLevel="0" collapsed="false">
      <c r="A14" s="54" t="s">
        <v>128</v>
      </c>
      <c r="B14" s="55" t="n">
        <v>0</v>
      </c>
      <c r="C14" s="56" t="s">
        <v>117</v>
      </c>
      <c r="D14" s="56" t="s">
        <v>129</v>
      </c>
      <c r="E14" s="56" t="s">
        <v>130</v>
      </c>
    </row>
    <row r="16" customFormat="false" ht="15" hidden="false" customHeight="true" outlineLevel="0" collapsed="false">
      <c r="A16" s="57" t="s">
        <v>131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8" width="32"/>
    <col collapsed="false" customWidth="true" hidden="false" outlineLevel="0" max="12" min="2" style="48" width="18"/>
  </cols>
  <sheetData>
    <row r="1" customFormat="false" ht="27.7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50"/>
      <c r="B2" s="58" t="s">
        <v>133</v>
      </c>
      <c r="C2" s="58"/>
      <c r="D2" s="58"/>
      <c r="E2" s="58"/>
      <c r="F2" s="58"/>
      <c r="G2" s="58"/>
      <c r="H2" s="58"/>
      <c r="I2" s="58" t="s">
        <v>134</v>
      </c>
      <c r="J2" s="58"/>
      <c r="K2" s="58"/>
      <c r="L2" s="58"/>
    </row>
    <row r="3" customFormat="false" ht="31.5" hidden="false" customHeight="true" outlineLevel="0" collapsed="false">
      <c r="A3" s="59" t="s">
        <v>135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4" t="s">
        <v>141</v>
      </c>
      <c r="H3" s="4" t="s">
        <v>142</v>
      </c>
      <c r="I3" s="4" t="s">
        <v>143</v>
      </c>
      <c r="J3" s="4" t="s">
        <v>144</v>
      </c>
      <c r="K3" s="4" t="s">
        <v>145</v>
      </c>
      <c r="L3" s="4" t="s">
        <v>146</v>
      </c>
    </row>
    <row r="4" customFormat="false" ht="15" hidden="false" customHeight="true" outlineLevel="0" collapsed="false">
      <c r="A4" s="60" t="s">
        <v>147</v>
      </c>
      <c r="B4" s="18" t="n">
        <v>2800000</v>
      </c>
      <c r="C4" s="61" t="n">
        <f aca="false">B4*'Emission Factors'!B3</f>
        <v>5695.2</v>
      </c>
      <c r="D4" s="18" t="n">
        <v>0</v>
      </c>
      <c r="E4" s="61" t="n">
        <f aca="false">D4*'Emission Factors'!B4</f>
        <v>0</v>
      </c>
      <c r="F4" s="18" t="n">
        <v>120</v>
      </c>
      <c r="G4" s="61" t="n">
        <f aca="false">F4*'Emission Factors'!B5</f>
        <v>184.8</v>
      </c>
      <c r="H4" s="61" t="n">
        <f aca="false">C4+E4+G4</f>
        <v>5880</v>
      </c>
      <c r="I4" s="18" t="n">
        <v>85</v>
      </c>
      <c r="J4" s="61" t="n">
        <f aca="false">I4*'Emission Factors'!B7</f>
        <v>225.505</v>
      </c>
      <c r="K4" s="18" t="n">
        <v>30</v>
      </c>
      <c r="L4" s="61" t="n">
        <f aca="false">J4+K4*'Emission Factors'!B8</f>
        <v>294.805</v>
      </c>
    </row>
    <row r="5" customFormat="false" ht="15" hidden="false" customHeight="true" outlineLevel="0" collapsed="false">
      <c r="A5" s="62" t="s">
        <v>148</v>
      </c>
      <c r="B5" s="9" t="n">
        <v>1400000</v>
      </c>
      <c r="C5" s="63" t="n">
        <f aca="false">B5*'Emission Factors'!B3</f>
        <v>2847.6</v>
      </c>
      <c r="D5" s="9" t="n">
        <v>0</v>
      </c>
      <c r="E5" s="63" t="n">
        <f aca="false">D5*'Emission Factors'!B4</f>
        <v>0</v>
      </c>
      <c r="F5" s="9" t="n">
        <v>60</v>
      </c>
      <c r="G5" s="63" t="n">
        <f aca="false">F5*'Emission Factors'!B5</f>
        <v>92.4</v>
      </c>
      <c r="H5" s="63" t="n">
        <f aca="false">C5+E5+G5</f>
        <v>2940</v>
      </c>
      <c r="I5" s="9" t="n">
        <v>55</v>
      </c>
      <c r="J5" s="63" t="n">
        <f aca="false">I5*'Emission Factors'!B7</f>
        <v>145.915</v>
      </c>
      <c r="K5" s="9" t="n">
        <v>20</v>
      </c>
      <c r="L5" s="63" t="n">
        <f aca="false">J5+K5*'Emission Factors'!B8</f>
        <v>192.115</v>
      </c>
    </row>
    <row r="6" customFormat="false" ht="15" hidden="false" customHeight="true" outlineLevel="0" collapsed="false">
      <c r="A6" s="60" t="s">
        <v>149</v>
      </c>
      <c r="B6" s="18" t="n">
        <v>3500000</v>
      </c>
      <c r="C6" s="61" t="n">
        <f aca="false">B6*'Emission Factors'!B3</f>
        <v>7119</v>
      </c>
      <c r="D6" s="18" t="n">
        <v>0</v>
      </c>
      <c r="E6" s="61" t="n">
        <f aca="false">D6*'Emission Factors'!B4</f>
        <v>0</v>
      </c>
      <c r="F6" s="18" t="n">
        <v>80</v>
      </c>
      <c r="G6" s="61" t="n">
        <f aca="false">F6*'Emission Factors'!B5</f>
        <v>123.2</v>
      </c>
      <c r="H6" s="61" t="n">
        <f aca="false">C6+E6+G6</f>
        <v>7242.2</v>
      </c>
      <c r="I6" s="18" t="n">
        <v>190</v>
      </c>
      <c r="J6" s="61" t="n">
        <f aca="false">I6*'Emission Factors'!B7</f>
        <v>504.07</v>
      </c>
      <c r="K6" s="18" t="n">
        <v>95</v>
      </c>
      <c r="L6" s="61" t="n">
        <f aca="false">J6+K6*'Emission Factors'!B8</f>
        <v>723.52</v>
      </c>
    </row>
    <row r="7" customFormat="false" ht="15" hidden="false" customHeight="true" outlineLevel="0" collapsed="false">
      <c r="A7" s="62" t="s">
        <v>150</v>
      </c>
      <c r="B7" s="9" t="n">
        <v>1900000</v>
      </c>
      <c r="C7" s="63" t="n">
        <f aca="false">B7*'Emission Factors'!B3</f>
        <v>3864.6</v>
      </c>
      <c r="D7" s="9" t="n">
        <v>0</v>
      </c>
      <c r="E7" s="63" t="n">
        <f aca="false">D7*'Emission Factors'!B4</f>
        <v>0</v>
      </c>
      <c r="F7" s="9" t="n">
        <v>220</v>
      </c>
      <c r="G7" s="63" t="n">
        <f aca="false">F7*'Emission Factors'!B5</f>
        <v>338.8</v>
      </c>
      <c r="H7" s="63" t="n">
        <f aca="false">C7+E7+G7</f>
        <v>4203.4</v>
      </c>
      <c r="I7" s="9" t="n">
        <v>40</v>
      </c>
      <c r="J7" s="63" t="n">
        <f aca="false">I7*'Emission Factors'!B7</f>
        <v>106.12</v>
      </c>
      <c r="K7" s="9" t="n">
        <v>15</v>
      </c>
      <c r="L7" s="63" t="n">
        <f aca="false">J7+K7*'Emission Factors'!B8</f>
        <v>140.77</v>
      </c>
    </row>
    <row r="8" customFormat="false" ht="15" hidden="false" customHeight="true" outlineLevel="0" collapsed="false">
      <c r="A8" s="60" t="s">
        <v>151</v>
      </c>
      <c r="B8" s="18" t="n">
        <v>1200000</v>
      </c>
      <c r="C8" s="61" t="n">
        <f aca="false">B8*'Emission Factors'!B3</f>
        <v>2440.8</v>
      </c>
      <c r="D8" s="18" t="n">
        <v>680</v>
      </c>
      <c r="E8" s="61" t="n">
        <f aca="false">D8*'Emission Factors'!B4</f>
        <v>1822.4</v>
      </c>
      <c r="F8" s="18" t="n">
        <v>40</v>
      </c>
      <c r="G8" s="61" t="n">
        <f aca="false">F8*'Emission Factors'!B5</f>
        <v>61.6</v>
      </c>
      <c r="H8" s="61" t="n">
        <f aca="false">C8+E8+G8</f>
        <v>4324.8</v>
      </c>
      <c r="I8" s="18" t="n">
        <v>75</v>
      </c>
      <c r="J8" s="61" t="n">
        <f aca="false">I8*'Emission Factors'!B7</f>
        <v>198.975</v>
      </c>
      <c r="K8" s="18" t="n">
        <v>25</v>
      </c>
      <c r="L8" s="61" t="n">
        <f aca="false">J8+K8*'Emission Factors'!B8</f>
        <v>256.725</v>
      </c>
    </row>
    <row r="9" customFormat="false" ht="15" hidden="false" customHeight="true" outlineLevel="0" collapsed="false">
      <c r="A9" s="59" t="s">
        <v>152</v>
      </c>
      <c r="B9" s="64" t="n">
        <f aca="false">SUM(B4:B8)</f>
        <v>10800000</v>
      </c>
      <c r="C9" s="64" t="n">
        <f aca="false">SUM(C4:C8)</f>
        <v>21967.2</v>
      </c>
      <c r="D9" s="64" t="n">
        <f aca="false">SUM(D4:D8)</f>
        <v>680</v>
      </c>
      <c r="E9" s="64" t="n">
        <f aca="false">SUM(E4:E8)</f>
        <v>1822.4</v>
      </c>
      <c r="F9" s="64" t="n">
        <f aca="false">SUM(F4:F8)</f>
        <v>520</v>
      </c>
      <c r="G9" s="64" t="n">
        <f aca="false">SUM(G4:G8)</f>
        <v>800.8</v>
      </c>
      <c r="H9" s="64" t="n">
        <f aca="false">SUM(H4:H8)</f>
        <v>24590.4</v>
      </c>
      <c r="I9" s="64" t="n">
        <f aca="false">SUM(I4:I8)</f>
        <v>445</v>
      </c>
      <c r="J9" s="64" t="n">
        <f aca="false">SUM(J4:J8)</f>
        <v>1180.585</v>
      </c>
      <c r="K9" s="64" t="n">
        <f aca="false">SUM(K4:K8)</f>
        <v>185</v>
      </c>
      <c r="L9" s="64" t="n">
        <f aca="false">SUM(L4:L8)</f>
        <v>1607.935</v>
      </c>
    </row>
  </sheetData>
  <mergeCells count="3">
    <mergeCell ref="A1:L1"/>
    <mergeCell ref="B2:H2"/>
    <mergeCell ref="I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8" width="32"/>
    <col collapsed="false" customWidth="true" hidden="false" outlineLevel="0" max="9" min="2" style="48" width="20"/>
    <col collapsed="false" customWidth="true" hidden="false" outlineLevel="0" max="10" min="10" style="48" width="22"/>
  </cols>
  <sheetData>
    <row r="1" customFormat="false" ht="27.75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65"/>
      <c r="B2" s="58" t="s">
        <v>154</v>
      </c>
      <c r="C2" s="58"/>
      <c r="D2" s="58"/>
      <c r="E2" s="58"/>
      <c r="F2" s="58"/>
      <c r="G2" s="58" t="s">
        <v>155</v>
      </c>
      <c r="H2" s="58"/>
      <c r="I2" s="58" t="s">
        <v>156</v>
      </c>
      <c r="J2" s="58"/>
    </row>
    <row r="3" customFormat="false" ht="36" hidden="false" customHeight="true" outlineLevel="0" collapsed="false">
      <c r="A3" s="4" t="s">
        <v>135</v>
      </c>
      <c r="B3" s="4" t="s">
        <v>157</v>
      </c>
      <c r="C3" s="4" t="s">
        <v>158</v>
      </c>
      <c r="D3" s="4" t="s">
        <v>159</v>
      </c>
      <c r="E3" s="4" t="s">
        <v>160</v>
      </c>
      <c r="F3" s="4" t="s">
        <v>161</v>
      </c>
      <c r="G3" s="4" t="s">
        <v>162</v>
      </c>
      <c r="H3" s="4" t="s">
        <v>163</v>
      </c>
      <c r="I3" s="4" t="s">
        <v>164</v>
      </c>
      <c r="J3" s="4" t="s">
        <v>165</v>
      </c>
    </row>
    <row r="4" customFormat="false" ht="15" hidden="false" customHeight="true" outlineLevel="0" collapsed="false">
      <c r="A4" s="60" t="s">
        <v>147</v>
      </c>
      <c r="B4" s="18" t="n">
        <v>58000</v>
      </c>
      <c r="C4" s="66" t="n">
        <f aca="false">B4-D4</f>
        <v>50000</v>
      </c>
      <c r="D4" s="18" t="n">
        <v>8000</v>
      </c>
      <c r="E4" s="67" t="n">
        <f aca="false">IFERROR(D4/B4,0)</f>
        <v>0.137931034482759</v>
      </c>
      <c r="F4" s="68" t="s">
        <v>166</v>
      </c>
      <c r="G4" s="61" t="n">
        <f aca="false">B4*'Emission Factors'!B9</f>
        <v>28628.8</v>
      </c>
      <c r="H4" s="69" t="n">
        <f aca="false">IFERROR(G4/B4,0)</f>
        <v>0.4936</v>
      </c>
      <c r="I4" s="61" t="n">
        <f aca="false">C4*'Emission Factors'!B9+D4*'Emission Factors'!B14</f>
        <v>24680</v>
      </c>
      <c r="J4" s="69" t="n">
        <f aca="false">IFERROR(I4/B4,0)</f>
        <v>0.42551724137931</v>
      </c>
    </row>
    <row r="5" customFormat="false" ht="15" hidden="false" customHeight="true" outlineLevel="0" collapsed="false">
      <c r="A5" s="62" t="s">
        <v>148</v>
      </c>
      <c r="B5" s="9" t="n">
        <v>72000</v>
      </c>
      <c r="C5" s="70" t="n">
        <f aca="false">B5-D5</f>
        <v>50000</v>
      </c>
      <c r="D5" s="9" t="n">
        <v>22000</v>
      </c>
      <c r="E5" s="71" t="n">
        <f aca="false">IFERROR(D5/B5,0)</f>
        <v>0.305555555555556</v>
      </c>
      <c r="F5" s="72" t="s">
        <v>167</v>
      </c>
      <c r="G5" s="63" t="n">
        <f aca="false">B5*'Emission Factors'!B10</f>
        <v>32688</v>
      </c>
      <c r="H5" s="73" t="n">
        <f aca="false">IFERROR(G5/B5,0)</f>
        <v>0.454</v>
      </c>
      <c r="I5" s="63" t="n">
        <f aca="false">C5*'Emission Factors'!B10+D5*'Emission Factors'!B14</f>
        <v>22700</v>
      </c>
      <c r="J5" s="73" t="n">
        <f aca="false">IFERROR(I5/B5,0)</f>
        <v>0.315277777777778</v>
      </c>
    </row>
    <row r="6" customFormat="false" ht="15" hidden="false" customHeight="true" outlineLevel="0" collapsed="false">
      <c r="A6" s="60" t="s">
        <v>149</v>
      </c>
      <c r="B6" s="18" t="n">
        <v>94000</v>
      </c>
      <c r="C6" s="66" t="n">
        <f aca="false">B6-D6</f>
        <v>88000</v>
      </c>
      <c r="D6" s="18" t="n">
        <v>6000</v>
      </c>
      <c r="E6" s="67" t="n">
        <f aca="false">IFERROR(D6/B6,0)</f>
        <v>0.0638297872340426</v>
      </c>
      <c r="F6" s="68" t="s">
        <v>168</v>
      </c>
      <c r="G6" s="61" t="n">
        <f aca="false">B6*'Emission Factors'!B11</f>
        <v>54614</v>
      </c>
      <c r="H6" s="69" t="n">
        <f aca="false">IFERROR(G6/B6,0)</f>
        <v>0.581</v>
      </c>
      <c r="I6" s="61" t="n">
        <f aca="false">C6*'Emission Factors'!B11+D6*'Emission Factors'!B14</f>
        <v>51128</v>
      </c>
      <c r="J6" s="69" t="n">
        <f aca="false">IFERROR(I6/B6,0)</f>
        <v>0.543914893617021</v>
      </c>
    </row>
    <row r="7" customFormat="false" ht="15" hidden="false" customHeight="true" outlineLevel="0" collapsed="false">
      <c r="A7" s="62" t="s">
        <v>150</v>
      </c>
      <c r="B7" s="9" t="n">
        <v>31000</v>
      </c>
      <c r="C7" s="70" t="n">
        <f aca="false">B7-D7</f>
        <v>22000</v>
      </c>
      <c r="D7" s="9" t="n">
        <v>9000</v>
      </c>
      <c r="E7" s="71" t="n">
        <f aca="false">IFERROR(D7/B7,0)</f>
        <v>0.290322580645161</v>
      </c>
      <c r="F7" s="72" t="s">
        <v>169</v>
      </c>
      <c r="G7" s="63" t="n">
        <f aca="false">B7*'Emission Factors'!B12</f>
        <v>22506</v>
      </c>
      <c r="H7" s="73" t="n">
        <f aca="false">IFERROR(G7/B7,0)</f>
        <v>0.726</v>
      </c>
      <c r="I7" s="63" t="n">
        <f aca="false">C7*'Emission Factors'!B12+D7*'Emission Factors'!B14</f>
        <v>15972</v>
      </c>
      <c r="J7" s="73" t="n">
        <f aca="false">IFERROR(I7/B7,0)</f>
        <v>0.515225806451613</v>
      </c>
    </row>
    <row r="8" customFormat="false" ht="15" hidden="false" customHeight="true" outlineLevel="0" collapsed="false">
      <c r="A8" s="60" t="s">
        <v>151</v>
      </c>
      <c r="B8" s="18" t="n">
        <v>41000</v>
      </c>
      <c r="C8" s="66" t="n">
        <f aca="false">B8-D8</f>
        <v>37000</v>
      </c>
      <c r="D8" s="18" t="n">
        <v>4000</v>
      </c>
      <c r="E8" s="67" t="n">
        <f aca="false">IFERROR(D8/B8,0)</f>
        <v>0.0975609756097561</v>
      </c>
      <c r="F8" s="68" t="s">
        <v>170</v>
      </c>
      <c r="G8" s="61" t="n">
        <f aca="false">B8*'Emission Factors'!B13</f>
        <v>29028</v>
      </c>
      <c r="H8" s="69" t="n">
        <f aca="false">IFERROR(G8/B8,0)</f>
        <v>0.708</v>
      </c>
      <c r="I8" s="61" t="n">
        <f aca="false">C8*'Emission Factors'!B13+D8*'Emission Factors'!B14</f>
        <v>26196</v>
      </c>
      <c r="J8" s="69" t="n">
        <f aca="false">IFERROR(I8/B8,0)</f>
        <v>0.638926829268293</v>
      </c>
    </row>
    <row r="9" customFormat="false" ht="15" hidden="false" customHeight="true" outlineLevel="0" collapsed="false">
      <c r="A9" s="59" t="s">
        <v>152</v>
      </c>
      <c r="B9" s="64" t="n">
        <f aca="false">SUM(B4:B8)</f>
        <v>296000</v>
      </c>
      <c r="C9" s="64" t="n">
        <f aca="false">SUM(C4:C8)</f>
        <v>247000</v>
      </c>
      <c r="D9" s="64" t="n">
        <f aca="false">SUM(D4:D8)</f>
        <v>49000</v>
      </c>
      <c r="E9" s="74" t="n">
        <f aca="false">IFERROR(D9/B9,0)</f>
        <v>0.165540540540541</v>
      </c>
      <c r="G9" s="64" t="n">
        <f aca="false">SUM(G4:G8)</f>
        <v>167464.8</v>
      </c>
      <c r="H9" s="75" t="n">
        <f aca="false">IFERROR(SUM(H4:H8)/COUNT(H4:H8),0)</f>
        <v>0.59252</v>
      </c>
      <c r="I9" s="64" t="n">
        <f aca="false">SUM(I4:I8)</f>
        <v>140676</v>
      </c>
      <c r="J9" s="75" t="n">
        <f aca="false">IFERROR(SUM(J4:J8)/COUNT(J4:J8),0)</f>
        <v>0.487772509698803</v>
      </c>
    </row>
  </sheetData>
  <mergeCells count="4">
    <mergeCell ref="A1:J1"/>
    <mergeCell ref="B2:F2"/>
    <mergeCell ref="G2:H2"/>
    <mergeCell ref="I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8" width="36"/>
    <col collapsed="false" customWidth="true" hidden="false" outlineLevel="0" max="7" min="2" style="48" width="22"/>
  </cols>
  <sheetData>
    <row r="1" customFormat="false" ht="27.75" hidden="false" customHeight="true" outlineLevel="0" collapsed="false">
      <c r="A1" s="1" t="s">
        <v>171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4" t="s">
        <v>172</v>
      </c>
      <c r="B2" s="4" t="s">
        <v>147</v>
      </c>
      <c r="C2" s="4" t="s">
        <v>173</v>
      </c>
      <c r="D2" s="4" t="s">
        <v>174</v>
      </c>
      <c r="E2" s="4" t="s">
        <v>175</v>
      </c>
      <c r="F2" s="4" t="s">
        <v>176</v>
      </c>
      <c r="G2" s="4" t="s">
        <v>152</v>
      </c>
    </row>
    <row r="3" customFormat="false" ht="15" hidden="false" customHeight="true" outlineLevel="0" collapsed="false">
      <c r="A3" s="39" t="s">
        <v>177</v>
      </c>
      <c r="B3" s="39"/>
      <c r="C3" s="39"/>
      <c r="D3" s="39"/>
      <c r="E3" s="39"/>
      <c r="F3" s="39"/>
      <c r="G3" s="39"/>
    </row>
    <row r="4" customFormat="false" ht="15" hidden="false" customHeight="true" outlineLevel="0" collapsed="false">
      <c r="A4" s="62" t="s">
        <v>178</v>
      </c>
      <c r="B4" s="9" t="n">
        <v>128400</v>
      </c>
      <c r="C4" s="9" t="n">
        <v>89200</v>
      </c>
      <c r="D4" s="9" t="n">
        <v>312000</v>
      </c>
      <c r="E4" s="9" t="n">
        <v>42100</v>
      </c>
      <c r="F4" s="9" t="n">
        <v>156800</v>
      </c>
      <c r="G4" s="32" t="n">
        <f aca="false">SUM(B4:F4)</f>
        <v>728500</v>
      </c>
    </row>
    <row r="5" customFormat="false" ht="15" hidden="false" customHeight="true" outlineLevel="0" collapsed="false">
      <c r="A5" s="60" t="s">
        <v>179</v>
      </c>
      <c r="B5" s="18" t="n">
        <v>8200</v>
      </c>
      <c r="C5" s="18" t="n">
        <v>11400</v>
      </c>
      <c r="D5" s="18" t="n">
        <v>14600</v>
      </c>
      <c r="E5" s="18" t="n">
        <v>9800</v>
      </c>
      <c r="F5" s="18" t="n">
        <v>7200</v>
      </c>
      <c r="G5" s="28" t="n">
        <f aca="false">SUM(B5:F5)</f>
        <v>51200</v>
      </c>
    </row>
    <row r="6" customFormat="false" ht="15" hidden="false" customHeight="true" outlineLevel="0" collapsed="false">
      <c r="A6" s="62" t="s">
        <v>180</v>
      </c>
      <c r="B6" s="9" t="n">
        <v>4100</v>
      </c>
      <c r="C6" s="9" t="n">
        <v>5800</v>
      </c>
      <c r="D6" s="9" t="n">
        <v>9200</v>
      </c>
      <c r="E6" s="9" t="n">
        <v>3600</v>
      </c>
      <c r="F6" s="9" t="n">
        <v>4900</v>
      </c>
      <c r="G6" s="32" t="n">
        <f aca="false">SUM(B6:F6)</f>
        <v>27600</v>
      </c>
    </row>
    <row r="7" customFormat="false" ht="15" hidden="false" customHeight="true" outlineLevel="0" collapsed="false">
      <c r="A7" s="60" t="s">
        <v>181</v>
      </c>
      <c r="B7" s="18" t="n">
        <v>22100</v>
      </c>
      <c r="C7" s="18" t="n">
        <v>18600</v>
      </c>
      <c r="D7" s="18" t="n">
        <v>48200</v>
      </c>
      <c r="E7" s="18" t="n">
        <v>12400</v>
      </c>
      <c r="F7" s="18" t="n">
        <v>31600</v>
      </c>
      <c r="G7" s="28" t="n">
        <f aca="false">SUM(B7:F7)</f>
        <v>132900</v>
      </c>
    </row>
    <row r="8" customFormat="false" ht="15" hidden="false" customHeight="true" outlineLevel="0" collapsed="false">
      <c r="A8" s="62" t="s">
        <v>182</v>
      </c>
      <c r="B8" s="9" t="n">
        <v>1200</v>
      </c>
      <c r="C8" s="9" t="n">
        <v>980</v>
      </c>
      <c r="D8" s="9" t="n">
        <v>2400</v>
      </c>
      <c r="E8" s="9" t="n">
        <v>640</v>
      </c>
      <c r="F8" s="9" t="n">
        <v>1800</v>
      </c>
      <c r="G8" s="32" t="n">
        <f aca="false">SUM(B8:F8)</f>
        <v>7020</v>
      </c>
    </row>
    <row r="9" customFormat="false" ht="15" hidden="false" customHeight="true" outlineLevel="0" collapsed="false">
      <c r="A9" s="60" t="s">
        <v>183</v>
      </c>
      <c r="B9" s="18" t="n">
        <v>420</v>
      </c>
      <c r="C9" s="18" t="n">
        <v>380</v>
      </c>
      <c r="D9" s="18" t="n">
        <v>880</v>
      </c>
      <c r="E9" s="18" t="n">
        <v>310</v>
      </c>
      <c r="F9" s="18" t="n">
        <v>540</v>
      </c>
      <c r="G9" s="28" t="n">
        <f aca="false">SUM(B9:F9)</f>
        <v>2530</v>
      </c>
    </row>
    <row r="10" customFormat="false" ht="15" hidden="false" customHeight="true" outlineLevel="0" collapsed="false">
      <c r="A10" s="62" t="s">
        <v>184</v>
      </c>
      <c r="B10" s="9" t="n">
        <v>3200</v>
      </c>
      <c r="C10" s="9" t="n">
        <v>2600</v>
      </c>
      <c r="D10" s="9" t="n">
        <v>8400</v>
      </c>
      <c r="E10" s="9" t="n">
        <v>1800</v>
      </c>
      <c r="F10" s="9" t="n">
        <v>4200</v>
      </c>
      <c r="G10" s="32" t="n">
        <f aca="false">SUM(B10:F10)</f>
        <v>20200</v>
      </c>
    </row>
    <row r="11" customFormat="false" ht="15" hidden="false" customHeight="true" outlineLevel="0" collapsed="false">
      <c r="A11" s="60" t="s">
        <v>185</v>
      </c>
      <c r="B11" s="18" t="n">
        <v>600</v>
      </c>
      <c r="C11" s="18" t="n">
        <v>400</v>
      </c>
      <c r="D11" s="18" t="n">
        <v>900</v>
      </c>
      <c r="E11" s="18" t="n">
        <v>200</v>
      </c>
      <c r="F11" s="18" t="n">
        <v>700</v>
      </c>
      <c r="G11" s="28" t="n">
        <f aca="false">SUM(B11:F11)</f>
        <v>2800</v>
      </c>
    </row>
    <row r="12" customFormat="false" ht="15" hidden="false" customHeight="true" outlineLevel="0" collapsed="false">
      <c r="A12" s="39" t="s">
        <v>186</v>
      </c>
      <c r="B12" s="39"/>
      <c r="C12" s="39"/>
      <c r="D12" s="39"/>
      <c r="E12" s="39"/>
      <c r="F12" s="39"/>
      <c r="G12" s="39"/>
    </row>
    <row r="13" customFormat="false" ht="15" hidden="false" customHeight="true" outlineLevel="0" collapsed="false">
      <c r="A13" s="60" t="s">
        <v>187</v>
      </c>
      <c r="B13" s="18" t="n">
        <v>9800</v>
      </c>
      <c r="C13" s="18" t="n">
        <v>7200</v>
      </c>
      <c r="D13" s="18" t="n">
        <v>24600</v>
      </c>
      <c r="E13" s="18" t="n">
        <v>4100</v>
      </c>
      <c r="F13" s="18" t="n">
        <v>14200</v>
      </c>
      <c r="G13" s="28" t="n">
        <f aca="false">SUM(B13:F13)</f>
        <v>59900</v>
      </c>
    </row>
    <row r="14" customFormat="false" ht="15" hidden="false" customHeight="true" outlineLevel="0" collapsed="false">
      <c r="A14" s="62" t="s">
        <v>188</v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32" t="n">
        <f aca="false">SUM(B14:F14)</f>
        <v>0</v>
      </c>
    </row>
    <row r="15" customFormat="false" ht="15" hidden="false" customHeight="true" outlineLevel="0" collapsed="false">
      <c r="A15" s="60" t="s">
        <v>189</v>
      </c>
      <c r="B15" s="18" t="n">
        <v>42000</v>
      </c>
      <c r="C15" s="18" t="n">
        <v>68000</v>
      </c>
      <c r="D15" s="18" t="n">
        <v>110000</v>
      </c>
      <c r="E15" s="18" t="n">
        <v>12000</v>
      </c>
      <c r="F15" s="18" t="n">
        <v>88000</v>
      </c>
      <c r="G15" s="28" t="n">
        <f aca="false">SUM(B15:F15)</f>
        <v>320000</v>
      </c>
    </row>
    <row r="16" customFormat="false" ht="15" hidden="false" customHeight="true" outlineLevel="0" collapsed="false">
      <c r="A16" s="62" t="s">
        <v>190</v>
      </c>
      <c r="B16" s="9" t="n">
        <v>6400</v>
      </c>
      <c r="C16" s="9" t="n">
        <v>8200</v>
      </c>
      <c r="D16" s="9" t="n">
        <v>18400</v>
      </c>
      <c r="E16" s="9" t="n">
        <v>2200</v>
      </c>
      <c r="F16" s="9" t="n">
        <v>12600</v>
      </c>
      <c r="G16" s="32" t="n">
        <f aca="false">SUM(B16:F16)</f>
        <v>47800</v>
      </c>
    </row>
    <row r="17" customFormat="false" ht="15" hidden="false" customHeight="true" outlineLevel="0" collapsed="false">
      <c r="A17" s="60" t="s">
        <v>191</v>
      </c>
      <c r="B17" s="18" t="n">
        <v>200</v>
      </c>
      <c r="C17" s="18" t="n">
        <v>150</v>
      </c>
      <c r="D17" s="18" t="n">
        <v>400</v>
      </c>
      <c r="E17" s="18" t="n">
        <v>80</v>
      </c>
      <c r="F17" s="18" t="n">
        <v>280</v>
      </c>
      <c r="G17" s="28" t="n">
        <f aca="false">SUM(B17:F17)</f>
        <v>1110</v>
      </c>
    </row>
    <row r="18" customFormat="false" ht="15" hidden="false" customHeight="true" outlineLevel="0" collapsed="false">
      <c r="A18" s="62" t="s">
        <v>192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32" t="n">
        <f aca="false">SUM(B18:F18)</f>
        <v>0</v>
      </c>
    </row>
    <row r="19" customFormat="false" ht="15" hidden="false" customHeight="true" outlineLevel="0" collapsed="false">
      <c r="A19" s="60" t="s">
        <v>193</v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28" t="n">
        <f aca="false">SUM(B19:F19)</f>
        <v>0</v>
      </c>
    </row>
    <row r="20" customFormat="false" ht="15" hidden="false" customHeight="true" outlineLevel="0" collapsed="false">
      <c r="A20" s="59" t="s">
        <v>194</v>
      </c>
      <c r="B20" s="36" t="n">
        <f aca="false">B4+B5+B6+B7+B8+B9+B10+B11+B13+B14+B15+B16+B17+B18+B19</f>
        <v>226620</v>
      </c>
      <c r="C20" s="36" t="n">
        <f aca="false">C4+C5+C6+C7+C8+C9+C10+C11+C13+C14+C15+C16+C17+C18+C19</f>
        <v>212910</v>
      </c>
      <c r="D20" s="36" t="n">
        <f aca="false">D4+D5+D6+D7+D8+D9+D10+D11+D13+D14+D15+D16+D17+D18+D19</f>
        <v>549980</v>
      </c>
      <c r="E20" s="36" t="n">
        <f aca="false">E4+E5+E6+E7+E8+E9+E10+E11+E13+E14+E15+E16+E17+E18+E19</f>
        <v>89230</v>
      </c>
      <c r="F20" s="36" t="n">
        <f aca="false">F4+F5+F6+F7+F8+F9+F10+F11+F13+F14+F15+F16+F17+F18+F19</f>
        <v>322820</v>
      </c>
      <c r="G20" s="36" t="n">
        <f aca="false">G4+G5+G6+G7+G8+G9+G10+G11+G13+G14+G15+G16+G17+G18+G19</f>
        <v>1401560</v>
      </c>
    </row>
  </sheetData>
  <mergeCells count="3">
    <mergeCell ref="A1:G1"/>
    <mergeCell ref="A3:G3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8" width="34"/>
    <col collapsed="false" customWidth="true" hidden="false" outlineLevel="0" max="8" min="2" style="48" width="18"/>
    <col collapsed="false" customWidth="true" hidden="false" outlineLevel="0" max="9" min="9" style="48" width="20"/>
  </cols>
  <sheetData>
    <row r="1" customFormat="false" ht="27.7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</row>
    <row r="2" customFormat="false" ht="39.75" hidden="false" customHeight="true" outlineLevel="0" collapsed="false">
      <c r="A2" s="4" t="s">
        <v>135</v>
      </c>
      <c r="B2" s="4" t="s">
        <v>196</v>
      </c>
      <c r="C2" s="4" t="s">
        <v>197</v>
      </c>
      <c r="D2" s="4" t="s">
        <v>198</v>
      </c>
      <c r="E2" s="4" t="s">
        <v>199</v>
      </c>
      <c r="F2" s="4" t="s">
        <v>200</v>
      </c>
      <c r="G2" s="4" t="s">
        <v>201</v>
      </c>
      <c r="H2" s="4" t="s">
        <v>202</v>
      </c>
      <c r="I2" s="4" t="s">
        <v>203</v>
      </c>
    </row>
    <row r="3" customFormat="false" ht="15" hidden="false" customHeight="true" outlineLevel="0" collapsed="false">
      <c r="A3" s="60" t="s">
        <v>147</v>
      </c>
      <c r="B3" s="61" t="n">
        <f aca="false">'Scope 1 — Detail'!B4*0.01055</f>
        <v>29540</v>
      </c>
      <c r="C3" s="61" t="n">
        <f aca="false">'Scope 1 — Detail'!D4*11.63</f>
        <v>0</v>
      </c>
      <c r="D3" s="61" t="n">
        <f aca="false">'Scope 1 — Detail'!F4*13.1</f>
        <v>1572</v>
      </c>
      <c r="E3" s="61" t="n">
        <f aca="false">B3+C3+D3</f>
        <v>31112</v>
      </c>
      <c r="F3" s="76" t="n">
        <f aca="false">'Scope 2 — Detail'!C4</f>
        <v>50000</v>
      </c>
      <c r="G3" s="76" t="n">
        <f aca="false">'Scope 2 — Detail'!D4</f>
        <v>8000</v>
      </c>
      <c r="H3" s="66" t="n">
        <f aca="false">F3+G3</f>
        <v>58000</v>
      </c>
      <c r="I3" s="61" t="n">
        <f aca="false">E3+H3</f>
        <v>89112</v>
      </c>
    </row>
    <row r="4" customFormat="false" ht="15" hidden="false" customHeight="true" outlineLevel="0" collapsed="false">
      <c r="A4" s="62" t="s">
        <v>148</v>
      </c>
      <c r="B4" s="63" t="n">
        <f aca="false">'Scope 1 — Detail'!B5*0.01055</f>
        <v>14770</v>
      </c>
      <c r="C4" s="63" t="n">
        <f aca="false">'Scope 1 — Detail'!D5*11.63</f>
        <v>0</v>
      </c>
      <c r="D4" s="63" t="n">
        <f aca="false">'Scope 1 — Detail'!F5*13.1</f>
        <v>786</v>
      </c>
      <c r="E4" s="63" t="n">
        <f aca="false">B4+C4+D4</f>
        <v>15556</v>
      </c>
      <c r="F4" s="77" t="n">
        <f aca="false">'Scope 2 — Detail'!C5</f>
        <v>50000</v>
      </c>
      <c r="G4" s="77" t="n">
        <f aca="false">'Scope 2 — Detail'!D5</f>
        <v>22000</v>
      </c>
      <c r="H4" s="70" t="n">
        <f aca="false">F4+G4</f>
        <v>72000</v>
      </c>
      <c r="I4" s="63" t="n">
        <f aca="false">E4+H4</f>
        <v>87556</v>
      </c>
    </row>
    <row r="5" customFormat="false" ht="15" hidden="false" customHeight="true" outlineLevel="0" collapsed="false">
      <c r="A5" s="60" t="s">
        <v>149</v>
      </c>
      <c r="B5" s="61" t="n">
        <f aca="false">'Scope 1 — Detail'!B6*0.01055</f>
        <v>36925</v>
      </c>
      <c r="C5" s="61" t="n">
        <f aca="false">'Scope 1 — Detail'!D6*11.63</f>
        <v>0</v>
      </c>
      <c r="D5" s="61" t="n">
        <f aca="false">'Scope 1 — Detail'!F6*13.1</f>
        <v>1048</v>
      </c>
      <c r="E5" s="61" t="n">
        <f aca="false">B5+C5+D5</f>
        <v>37973</v>
      </c>
      <c r="F5" s="76" t="n">
        <f aca="false">'Scope 2 — Detail'!C6</f>
        <v>88000</v>
      </c>
      <c r="G5" s="76" t="n">
        <f aca="false">'Scope 2 — Detail'!D6</f>
        <v>6000</v>
      </c>
      <c r="H5" s="66" t="n">
        <f aca="false">F5+G5</f>
        <v>94000</v>
      </c>
      <c r="I5" s="61" t="n">
        <f aca="false">E5+H5</f>
        <v>131973</v>
      </c>
    </row>
    <row r="6" customFormat="false" ht="15" hidden="false" customHeight="true" outlineLevel="0" collapsed="false">
      <c r="A6" s="62" t="s">
        <v>150</v>
      </c>
      <c r="B6" s="63" t="n">
        <f aca="false">'Scope 1 — Detail'!B7*0.01055</f>
        <v>20045</v>
      </c>
      <c r="C6" s="63" t="n">
        <f aca="false">'Scope 1 — Detail'!D7*11.63</f>
        <v>0</v>
      </c>
      <c r="D6" s="63" t="n">
        <f aca="false">'Scope 1 — Detail'!F7*13.1</f>
        <v>2882</v>
      </c>
      <c r="E6" s="63" t="n">
        <f aca="false">B6+C6+D6</f>
        <v>22927</v>
      </c>
      <c r="F6" s="77" t="n">
        <f aca="false">'Scope 2 — Detail'!C7</f>
        <v>22000</v>
      </c>
      <c r="G6" s="77" t="n">
        <f aca="false">'Scope 2 — Detail'!D7</f>
        <v>9000</v>
      </c>
      <c r="H6" s="70" t="n">
        <f aca="false">F6+G6</f>
        <v>31000</v>
      </c>
      <c r="I6" s="63" t="n">
        <f aca="false">E6+H6</f>
        <v>53927</v>
      </c>
    </row>
    <row r="7" customFormat="false" ht="15" hidden="false" customHeight="true" outlineLevel="0" collapsed="false">
      <c r="A7" s="60" t="s">
        <v>151</v>
      </c>
      <c r="B7" s="61" t="n">
        <f aca="false">'Scope 1 — Detail'!B8*0.01055</f>
        <v>12660</v>
      </c>
      <c r="C7" s="61" t="n">
        <f aca="false">'Scope 1 — Detail'!D8*11.63</f>
        <v>7908.4</v>
      </c>
      <c r="D7" s="61" t="n">
        <f aca="false">'Scope 1 — Detail'!F8*13.1</f>
        <v>524</v>
      </c>
      <c r="E7" s="61" t="n">
        <f aca="false">B7+C7+D7</f>
        <v>21092.4</v>
      </c>
      <c r="F7" s="76" t="n">
        <f aca="false">'Scope 2 — Detail'!C8</f>
        <v>37000</v>
      </c>
      <c r="G7" s="76" t="n">
        <f aca="false">'Scope 2 — Detail'!D8</f>
        <v>4000</v>
      </c>
      <c r="H7" s="66" t="n">
        <f aca="false">F7+G7</f>
        <v>41000</v>
      </c>
      <c r="I7" s="61" t="n">
        <f aca="false">E7+H7</f>
        <v>62092.4</v>
      </c>
    </row>
    <row r="8" customFormat="false" ht="15" hidden="false" customHeight="true" outlineLevel="0" collapsed="false">
      <c r="A8" s="59" t="s">
        <v>152</v>
      </c>
      <c r="B8" s="64" t="n">
        <f aca="false">SUM(B3:B7)</f>
        <v>113940</v>
      </c>
      <c r="C8" s="64" t="n">
        <f aca="false">SUM(C3:C7)</f>
        <v>7908.4</v>
      </c>
      <c r="D8" s="64" t="n">
        <f aca="false">SUM(D3:D7)</f>
        <v>6812</v>
      </c>
      <c r="E8" s="64" t="n">
        <f aca="false">SUM(E3:E7)</f>
        <v>128660.4</v>
      </c>
      <c r="F8" s="64" t="n">
        <f aca="false">SUM(F3:F7)</f>
        <v>247000</v>
      </c>
      <c r="G8" s="64" t="n">
        <f aca="false">SUM(G3:G7)</f>
        <v>49000</v>
      </c>
      <c r="H8" s="64" t="n">
        <f aca="false">SUM(H3:H7)</f>
        <v>296000</v>
      </c>
      <c r="I8" s="64" t="n">
        <f aca="false">SUM(I3:I7)</f>
        <v>424660.4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8" width="34"/>
    <col collapsed="false" customWidth="true" hidden="false" outlineLevel="0" max="6" min="2" style="48" width="20"/>
    <col collapsed="false" customWidth="true" hidden="false" outlineLevel="0" max="11" min="7" style="48" width="22"/>
  </cols>
  <sheetData>
    <row r="1" customFormat="false" ht="31.5" hidden="false" customHeight="true" outlineLevel="0" collapsed="false">
      <c r="A1" s="78" t="s">
        <v>204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customFormat="false" ht="39.75" hidden="false" customHeight="true" outlineLevel="0" collapsed="false">
      <c r="A2" s="4" t="s">
        <v>135</v>
      </c>
      <c r="B2" s="4" t="s">
        <v>205</v>
      </c>
      <c r="C2" s="4" t="s">
        <v>206</v>
      </c>
      <c r="D2" s="4" t="s">
        <v>207</v>
      </c>
      <c r="E2" s="4" t="s">
        <v>208</v>
      </c>
      <c r="F2" s="4" t="s">
        <v>209</v>
      </c>
      <c r="G2" s="4" t="s">
        <v>210</v>
      </c>
      <c r="H2" s="4" t="s">
        <v>211</v>
      </c>
      <c r="I2" s="4" t="s">
        <v>212</v>
      </c>
      <c r="J2" s="4" t="s">
        <v>202</v>
      </c>
      <c r="K2" s="4" t="s">
        <v>160</v>
      </c>
    </row>
    <row r="3" customFormat="false" ht="15" hidden="false" customHeight="true" outlineLevel="0" collapsed="false">
      <c r="A3" s="79" t="s">
        <v>213</v>
      </c>
      <c r="B3" s="80" t="n">
        <f aca="false">'Scope 1 — Detail'!H4</f>
        <v>5880</v>
      </c>
      <c r="C3" s="80" t="n">
        <f aca="false">'Scope 1 — Detail'!L4</f>
        <v>294.805</v>
      </c>
      <c r="D3" s="61" t="n">
        <f aca="false">B3+C3</f>
        <v>6174.805</v>
      </c>
      <c r="E3" s="80" t="n">
        <f aca="false">'Scope 2 — Detail'!G4</f>
        <v>28628.8</v>
      </c>
      <c r="F3" s="80" t="n">
        <f aca="false">'Scope 2 — Detail'!I4</f>
        <v>24680</v>
      </c>
      <c r="G3" s="61" t="n">
        <f aca="false">D3+E3</f>
        <v>34803.605</v>
      </c>
      <c r="H3" s="66" t="n">
        <f aca="false">'Scope 3 — Detail'!B4+'Scope 3 — Detail'!B5+'Scope 3 — Detail'!B6+'Scope 3 — Detail'!B7+'Scope 3 — Detail'!B8+'Scope 3 — Detail'!B9+'Scope 3 — Detail'!B10+'Scope 3 — Detail'!B11+'Scope 3 — Detail'!B13+'Scope 3 — Detail'!B14+'Scope 3 — Detail'!B15+'Scope 3 — Detail'!B16+'Scope 3 — Detail'!B17+'Scope 3 — Detail'!B18+'Scope 3 — Detail'!B19</f>
        <v>226620</v>
      </c>
      <c r="I3" s="66" t="n">
        <f aca="false">G3+H3</f>
        <v>261423.605</v>
      </c>
      <c r="J3" s="76" t="n">
        <f aca="false">'Scope 2 — Detail'!B4</f>
        <v>58000</v>
      </c>
      <c r="K3" s="81" t="n">
        <f aca="false">'Scope 2 — Detail'!E4</f>
        <v>0.137931034482759</v>
      </c>
    </row>
    <row r="4" customFormat="false" ht="15" hidden="false" customHeight="true" outlineLevel="0" collapsed="false">
      <c r="A4" s="82" t="s">
        <v>214</v>
      </c>
      <c r="B4" s="83" t="n">
        <f aca="false">'Scope 1 — Detail'!H5</f>
        <v>2940</v>
      </c>
      <c r="C4" s="83" t="n">
        <f aca="false">'Scope 1 — Detail'!L5</f>
        <v>192.115</v>
      </c>
      <c r="D4" s="63" t="n">
        <f aca="false">B4+C4</f>
        <v>3132.115</v>
      </c>
      <c r="E4" s="83" t="n">
        <f aca="false">'Scope 2 — Detail'!G5</f>
        <v>32688</v>
      </c>
      <c r="F4" s="83" t="n">
        <f aca="false">'Scope 2 — Detail'!I5</f>
        <v>22700</v>
      </c>
      <c r="G4" s="63" t="n">
        <f aca="false">D4+E4</f>
        <v>35820.115</v>
      </c>
      <c r="H4" s="70" t="n">
        <f aca="false">'Scope 3 — Detail'!C4+'Scope 3 — Detail'!C5+'Scope 3 — Detail'!C6+'Scope 3 — Detail'!C7+'Scope 3 — Detail'!C8+'Scope 3 — Detail'!C9+'Scope 3 — Detail'!C10+'Scope 3 — Detail'!C11+'Scope 3 — Detail'!C13+'Scope 3 — Detail'!C14+'Scope 3 — Detail'!C15+'Scope 3 — Detail'!C16+'Scope 3 — Detail'!C17+'Scope 3 — Detail'!C18+'Scope 3 — Detail'!C19</f>
        <v>212910</v>
      </c>
      <c r="I4" s="70" t="n">
        <f aca="false">G4+H4</f>
        <v>248730.115</v>
      </c>
      <c r="J4" s="77" t="n">
        <f aca="false">'Scope 2 — Detail'!B5</f>
        <v>72000</v>
      </c>
      <c r="K4" s="84" t="n">
        <f aca="false">'Scope 2 — Detail'!E5</f>
        <v>0.305555555555556</v>
      </c>
    </row>
    <row r="5" customFormat="false" ht="15" hidden="false" customHeight="true" outlineLevel="0" collapsed="false">
      <c r="A5" s="79" t="s">
        <v>215</v>
      </c>
      <c r="B5" s="80" t="n">
        <f aca="false">'Scope 1 — Detail'!H6</f>
        <v>7242.2</v>
      </c>
      <c r="C5" s="80" t="n">
        <f aca="false">'Scope 1 — Detail'!L6</f>
        <v>723.52</v>
      </c>
      <c r="D5" s="61" t="n">
        <f aca="false">B5+C5</f>
        <v>7965.72</v>
      </c>
      <c r="E5" s="80" t="n">
        <f aca="false">'Scope 2 — Detail'!G6</f>
        <v>54614</v>
      </c>
      <c r="F5" s="80" t="n">
        <f aca="false">'Scope 2 — Detail'!I6</f>
        <v>51128</v>
      </c>
      <c r="G5" s="61" t="n">
        <f aca="false">D5+E5</f>
        <v>62579.72</v>
      </c>
      <c r="H5" s="66" t="n">
        <f aca="false">'Scope 3 — Detail'!D4+'Scope 3 — Detail'!D5+'Scope 3 — Detail'!D6+'Scope 3 — Detail'!D7+'Scope 3 — Detail'!D8+'Scope 3 — Detail'!D9+'Scope 3 — Detail'!D10+'Scope 3 — Detail'!D11+'Scope 3 — Detail'!D13+'Scope 3 — Detail'!D14+'Scope 3 — Detail'!D15+'Scope 3 — Detail'!D16+'Scope 3 — Detail'!D17+'Scope 3 — Detail'!D18+'Scope 3 — Detail'!D19</f>
        <v>549980</v>
      </c>
      <c r="I5" s="66" t="n">
        <f aca="false">G5+H5</f>
        <v>612559.72</v>
      </c>
      <c r="J5" s="76" t="n">
        <f aca="false">'Scope 2 — Detail'!B6</f>
        <v>94000</v>
      </c>
      <c r="K5" s="81" t="n">
        <f aca="false">'Scope 2 — Detail'!E6</f>
        <v>0.0638297872340426</v>
      </c>
    </row>
    <row r="6" customFormat="false" ht="15" hidden="false" customHeight="true" outlineLevel="0" collapsed="false">
      <c r="A6" s="82" t="s">
        <v>216</v>
      </c>
      <c r="B6" s="83" t="n">
        <f aca="false">'Scope 1 — Detail'!H7</f>
        <v>4203.4</v>
      </c>
      <c r="C6" s="83" t="n">
        <f aca="false">'Scope 1 — Detail'!L7</f>
        <v>140.77</v>
      </c>
      <c r="D6" s="63" t="n">
        <f aca="false">B6+C6</f>
        <v>4344.17</v>
      </c>
      <c r="E6" s="83" t="n">
        <f aca="false">'Scope 2 — Detail'!G7</f>
        <v>22506</v>
      </c>
      <c r="F6" s="83" t="n">
        <f aca="false">'Scope 2 — Detail'!I7</f>
        <v>15972</v>
      </c>
      <c r="G6" s="63" t="n">
        <f aca="false">D6+E6</f>
        <v>26850.17</v>
      </c>
      <c r="H6" s="70" t="n">
        <f aca="false">'Scope 3 — Detail'!E4+'Scope 3 — Detail'!E5+'Scope 3 — Detail'!E6+'Scope 3 — Detail'!E7+'Scope 3 — Detail'!E8+'Scope 3 — Detail'!E9+'Scope 3 — Detail'!E10+'Scope 3 — Detail'!E11+'Scope 3 — Detail'!E13+'Scope 3 — Detail'!E14+'Scope 3 — Detail'!E15+'Scope 3 — Detail'!E16+'Scope 3 — Detail'!E17+'Scope 3 — Detail'!E18+'Scope 3 — Detail'!E19</f>
        <v>89230</v>
      </c>
      <c r="I6" s="70" t="n">
        <f aca="false">G6+H6</f>
        <v>116080.17</v>
      </c>
      <c r="J6" s="77" t="n">
        <f aca="false">'Scope 2 — Detail'!B7</f>
        <v>31000</v>
      </c>
      <c r="K6" s="84" t="n">
        <f aca="false">'Scope 2 — Detail'!E7</f>
        <v>0.290322580645161</v>
      </c>
    </row>
    <row r="7" customFormat="false" ht="15" hidden="false" customHeight="true" outlineLevel="0" collapsed="false">
      <c r="A7" s="79" t="s">
        <v>217</v>
      </c>
      <c r="B7" s="80" t="n">
        <f aca="false">'Scope 1 — Detail'!H8</f>
        <v>4324.8</v>
      </c>
      <c r="C7" s="80" t="n">
        <f aca="false">'Scope 1 — Detail'!L8</f>
        <v>256.725</v>
      </c>
      <c r="D7" s="61" t="n">
        <f aca="false">B7+C7</f>
        <v>4581.525</v>
      </c>
      <c r="E7" s="80" t="n">
        <f aca="false">'Scope 2 — Detail'!G8</f>
        <v>29028</v>
      </c>
      <c r="F7" s="80" t="n">
        <f aca="false">'Scope 2 — Detail'!I8</f>
        <v>26196</v>
      </c>
      <c r="G7" s="61" t="n">
        <f aca="false">D7+E7</f>
        <v>33609.525</v>
      </c>
      <c r="H7" s="66" t="n">
        <f aca="false">'Scope 3 — Detail'!F4+'Scope 3 — Detail'!F5+'Scope 3 — Detail'!F6+'Scope 3 — Detail'!F7+'Scope 3 — Detail'!F8+'Scope 3 — Detail'!F9+'Scope 3 — Detail'!F10+'Scope 3 — Detail'!F11+'Scope 3 — Detail'!F13+'Scope 3 — Detail'!F14+'Scope 3 — Detail'!F15+'Scope 3 — Detail'!F16+'Scope 3 — Detail'!F17+'Scope 3 — Detail'!F18+'Scope 3 — Detail'!F19</f>
        <v>322820</v>
      </c>
      <c r="I7" s="66" t="n">
        <f aca="false">G7+H7</f>
        <v>356429.525</v>
      </c>
      <c r="J7" s="76" t="n">
        <f aca="false">'Scope 2 — Detail'!B8</f>
        <v>41000</v>
      </c>
      <c r="K7" s="81" t="n">
        <f aca="false">'Scope 2 — Detail'!E8</f>
        <v>0.0975609756097561</v>
      </c>
    </row>
    <row r="8" customFormat="false" ht="15" hidden="false" customHeight="true" outlineLevel="0" collapsed="false">
      <c r="A8" s="59" t="s">
        <v>218</v>
      </c>
      <c r="B8" s="64" t="n">
        <f aca="false">SUM(B3:B7)</f>
        <v>24590.4</v>
      </c>
      <c r="C8" s="64" t="n">
        <f aca="false">SUM(C3:C7)</f>
        <v>1607.935</v>
      </c>
      <c r="D8" s="64" t="n">
        <f aca="false">SUM(D3:D7)</f>
        <v>26198.335</v>
      </c>
      <c r="E8" s="64" t="n">
        <f aca="false">SUM(E3:E7)</f>
        <v>167464.8</v>
      </c>
      <c r="F8" s="64" t="n">
        <f aca="false">SUM(F3:F7)</f>
        <v>140676</v>
      </c>
      <c r="G8" s="64" t="n">
        <f aca="false">SUM(G3:G7)</f>
        <v>193663.135</v>
      </c>
      <c r="H8" s="64" t="n">
        <f aca="false">SUM(H3:H7)</f>
        <v>1401560</v>
      </c>
      <c r="I8" s="64" t="n">
        <f aca="false">SUM(I3:I7)</f>
        <v>1595223.135</v>
      </c>
      <c r="J8" s="64" t="n">
        <f aca="false">SUM(J3:J7)</f>
        <v>296000</v>
      </c>
      <c r="K8" s="74" t="n">
        <f aca="false">IFERROR(SUM('Scope 2 — Detail'!D4:D8)/SUM('Scope 2 — Detail'!B4:B8),0)</f>
        <v>0.165540540540541</v>
      </c>
    </row>
    <row r="11" customFormat="false" ht="15" hidden="false" customHeight="true" outlineLevel="0" collapsed="false">
      <c r="A11" s="85" t="s">
        <v>219</v>
      </c>
      <c r="B11" s="85"/>
      <c r="C11" s="85"/>
      <c r="D11" s="85"/>
    </row>
    <row r="12" customFormat="false" ht="15" hidden="false" customHeight="true" outlineLevel="0" collapsed="false">
      <c r="A12" s="86" t="s">
        <v>220</v>
      </c>
      <c r="B12" s="86"/>
      <c r="C12" s="86"/>
      <c r="D12" s="28" t="n">
        <f aca="false">G8</f>
        <v>193663.135</v>
      </c>
    </row>
    <row r="13" customFormat="false" ht="15" hidden="false" customHeight="true" outlineLevel="0" collapsed="false">
      <c r="A13" s="87" t="s">
        <v>221</v>
      </c>
      <c r="B13" s="87"/>
      <c r="C13" s="87"/>
      <c r="D13" s="32" t="n">
        <f aca="false">H8</f>
        <v>1401560</v>
      </c>
    </row>
    <row r="14" customFormat="false" ht="15" hidden="false" customHeight="true" outlineLevel="0" collapsed="false">
      <c r="A14" s="86" t="s">
        <v>222</v>
      </c>
      <c r="B14" s="86"/>
      <c r="C14" s="86"/>
      <c r="D14" s="28" t="n">
        <f aca="false">I8</f>
        <v>1595223.135</v>
      </c>
    </row>
    <row r="15" customFormat="false" ht="15" hidden="false" customHeight="true" outlineLevel="0" collapsed="false">
      <c r="A15" s="87" t="s">
        <v>223</v>
      </c>
      <c r="B15" s="87"/>
      <c r="C15" s="87"/>
      <c r="D15" s="32" t="n">
        <f aca="false">J8</f>
        <v>296000</v>
      </c>
    </row>
    <row r="16" customFormat="false" ht="15" hidden="false" customHeight="true" outlineLevel="0" collapsed="false">
      <c r="A16" s="86" t="s">
        <v>224</v>
      </c>
      <c r="B16" s="86"/>
      <c r="C16" s="86"/>
      <c r="D16" s="88" t="n">
        <f aca="false">K8</f>
        <v>0.165540540540541</v>
      </c>
    </row>
  </sheetData>
  <mergeCells count="7">
    <mergeCell ref="A1:K1"/>
    <mergeCell ref="A11:D11"/>
    <mergeCell ref="A12:C12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8" width="24"/>
    <col collapsed="false" customWidth="true" hidden="false" outlineLevel="0" max="2" min="2" style="48" width="30"/>
    <col collapsed="false" customWidth="true" hidden="false" outlineLevel="0" max="3" min="3" style="48" width="20"/>
    <col collapsed="false" customWidth="true" hidden="false" outlineLevel="0" max="4" min="4" style="48" width="16"/>
    <col collapsed="false" customWidth="true" hidden="false" outlineLevel="0" max="5" min="5" style="48" width="40"/>
  </cols>
  <sheetData>
    <row r="1" customFormat="false" ht="27.75" hidden="false" customHeight="true" outlineLevel="0" collapsed="false">
      <c r="A1" s="1" t="s">
        <v>225</v>
      </c>
      <c r="B1" s="1"/>
      <c r="C1" s="1"/>
      <c r="D1" s="1"/>
      <c r="E1" s="1"/>
    </row>
    <row r="2" customFormat="false" ht="15" hidden="false" customHeight="true" outlineLevel="0" collapsed="false">
      <c r="A2" s="49" t="s">
        <v>226</v>
      </c>
      <c r="B2" s="49" t="s">
        <v>227</v>
      </c>
      <c r="C2" s="50" t="s">
        <v>98</v>
      </c>
      <c r="D2" s="50" t="s">
        <v>228</v>
      </c>
      <c r="E2" s="49" t="s">
        <v>100</v>
      </c>
    </row>
    <row r="3" customFormat="false" ht="21.75" hidden="false" customHeight="true" outlineLevel="0" collapsed="false">
      <c r="A3" s="89" t="s">
        <v>229</v>
      </c>
      <c r="B3" s="90" t="s">
        <v>230</v>
      </c>
      <c r="C3" s="91" t="s">
        <v>231</v>
      </c>
      <c r="D3" s="91" t="s">
        <v>232</v>
      </c>
      <c r="E3" s="92" t="s">
        <v>233</v>
      </c>
    </row>
    <row r="4" customFormat="false" ht="21.75" hidden="false" customHeight="true" outlineLevel="0" collapsed="false">
      <c r="A4" s="93" t="s">
        <v>234</v>
      </c>
      <c r="B4" s="94" t="s">
        <v>235</v>
      </c>
      <c r="C4" s="95" t="s">
        <v>236</v>
      </c>
      <c r="D4" s="95" t="s">
        <v>232</v>
      </c>
      <c r="E4" s="96" t="s">
        <v>237</v>
      </c>
    </row>
    <row r="5" customFormat="false" ht="21.75" hidden="false" customHeight="true" outlineLevel="0" collapsed="false">
      <c r="A5" s="89" t="s">
        <v>238</v>
      </c>
      <c r="B5" s="90" t="s">
        <v>239</v>
      </c>
      <c r="C5" s="91" t="s">
        <v>240</v>
      </c>
      <c r="D5" s="91" t="s">
        <v>232</v>
      </c>
      <c r="E5" s="92" t="s">
        <v>241</v>
      </c>
    </row>
    <row r="6" customFormat="false" ht="15" hidden="false" customHeight="true" outlineLevel="0" collapsed="false">
      <c r="A6" s="93" t="s">
        <v>242</v>
      </c>
      <c r="B6" s="94" t="s">
        <v>243</v>
      </c>
      <c r="C6" s="95" t="s">
        <v>240</v>
      </c>
      <c r="D6" s="95" t="s">
        <v>232</v>
      </c>
      <c r="E6" s="96" t="s">
        <v>244</v>
      </c>
    </row>
    <row r="7" customFormat="false" ht="15" hidden="false" customHeight="true" outlineLevel="0" collapsed="false">
      <c r="A7" s="89" t="s">
        <v>245</v>
      </c>
      <c r="B7" s="90" t="s">
        <v>246</v>
      </c>
      <c r="C7" s="91" t="s">
        <v>240</v>
      </c>
      <c r="D7" s="91" t="s">
        <v>232</v>
      </c>
      <c r="E7" s="92" t="s">
        <v>247</v>
      </c>
    </row>
    <row r="8" customFormat="false" ht="21.75" hidden="false" customHeight="true" outlineLevel="0" collapsed="false">
      <c r="A8" s="93" t="s">
        <v>248</v>
      </c>
      <c r="B8" s="94" t="s">
        <v>249</v>
      </c>
      <c r="C8" s="95" t="s">
        <v>236</v>
      </c>
      <c r="D8" s="95" t="s">
        <v>232</v>
      </c>
      <c r="E8" s="96" t="s">
        <v>250</v>
      </c>
    </row>
    <row r="9" customFormat="false" ht="21.75" hidden="false" customHeight="true" outlineLevel="0" collapsed="false">
      <c r="A9" s="89" t="s">
        <v>251</v>
      </c>
      <c r="B9" s="90" t="s">
        <v>252</v>
      </c>
      <c r="C9" s="91" t="s">
        <v>236</v>
      </c>
      <c r="D9" s="91" t="s">
        <v>232</v>
      </c>
      <c r="E9" s="92" t="s">
        <v>253</v>
      </c>
    </row>
    <row r="10" customFormat="false" ht="21.75" hidden="false" customHeight="true" outlineLevel="0" collapsed="false">
      <c r="A10" s="93" t="s">
        <v>254</v>
      </c>
      <c r="B10" s="94" t="s">
        <v>255</v>
      </c>
      <c r="C10" s="95" t="s">
        <v>256</v>
      </c>
      <c r="D10" s="95" t="s">
        <v>257</v>
      </c>
      <c r="E10" s="96" t="s">
        <v>258</v>
      </c>
    </row>
    <row r="11" customFormat="false" ht="21.75" hidden="false" customHeight="true" outlineLevel="0" collapsed="false">
      <c r="A11" s="89" t="s">
        <v>259</v>
      </c>
      <c r="B11" s="90" t="s">
        <v>260</v>
      </c>
      <c r="C11" s="91" t="s">
        <v>256</v>
      </c>
      <c r="D11" s="91" t="s">
        <v>257</v>
      </c>
      <c r="E11" s="92" t="s">
        <v>261</v>
      </c>
    </row>
    <row r="12" customFormat="false" ht="15" hidden="false" customHeight="true" outlineLevel="0" collapsed="false">
      <c r="A12" s="93" t="s">
        <v>262</v>
      </c>
      <c r="B12" s="94" t="s">
        <v>263</v>
      </c>
      <c r="C12" s="95" t="s">
        <v>256</v>
      </c>
      <c r="D12" s="95" t="s">
        <v>257</v>
      </c>
      <c r="E12" s="96" t="s">
        <v>264</v>
      </c>
    </row>
    <row r="13" customFormat="false" ht="21.75" hidden="false" customHeight="true" outlineLevel="0" collapsed="false">
      <c r="A13" s="89" t="s">
        <v>265</v>
      </c>
      <c r="B13" s="90" t="s">
        <v>266</v>
      </c>
      <c r="C13" s="91" t="s">
        <v>236</v>
      </c>
      <c r="D13" s="91" t="s">
        <v>257</v>
      </c>
      <c r="E13" s="92" t="s">
        <v>267</v>
      </c>
    </row>
    <row r="14" customFormat="false" ht="21.75" hidden="false" customHeight="true" outlineLevel="0" collapsed="false">
      <c r="A14" s="93" t="s">
        <v>268</v>
      </c>
      <c r="B14" s="94" t="s">
        <v>269</v>
      </c>
      <c r="C14" s="95" t="s">
        <v>236</v>
      </c>
      <c r="D14" s="95" t="s">
        <v>257</v>
      </c>
      <c r="E14" s="96" t="s">
        <v>270</v>
      </c>
    </row>
    <row r="15" customFormat="false" ht="21.75" hidden="false" customHeight="true" outlineLevel="0" collapsed="false">
      <c r="A15" s="89" t="s">
        <v>271</v>
      </c>
      <c r="B15" s="90" t="s">
        <v>272</v>
      </c>
      <c r="C15" s="91" t="s">
        <v>236</v>
      </c>
      <c r="D15" s="91" t="s">
        <v>273</v>
      </c>
      <c r="E15" s="92" t="s">
        <v>274</v>
      </c>
    </row>
    <row r="16" customFormat="false" ht="15" hidden="false" customHeight="true" outlineLevel="0" collapsed="false">
      <c r="A16" s="93" t="s">
        <v>275</v>
      </c>
      <c r="B16" s="94" t="s">
        <v>276</v>
      </c>
      <c r="C16" s="95" t="s">
        <v>236</v>
      </c>
      <c r="D16" s="95" t="s">
        <v>273</v>
      </c>
      <c r="E16" s="96" t="s">
        <v>277</v>
      </c>
    </row>
    <row r="17" customFormat="false" ht="21.75" hidden="false" customHeight="true" outlineLevel="0" collapsed="false">
      <c r="A17" s="89" t="s">
        <v>278</v>
      </c>
      <c r="B17" s="90" t="s">
        <v>279</v>
      </c>
      <c r="C17" s="91" t="s">
        <v>236</v>
      </c>
      <c r="D17" s="91" t="s">
        <v>273</v>
      </c>
      <c r="E17" s="92" t="s">
        <v>280</v>
      </c>
    </row>
    <row r="18" customFormat="false" ht="21.75" hidden="false" customHeight="true" outlineLevel="0" collapsed="false">
      <c r="A18" s="93" t="s">
        <v>196</v>
      </c>
      <c r="B18" s="94" t="s">
        <v>281</v>
      </c>
      <c r="C18" s="95" t="s">
        <v>256</v>
      </c>
      <c r="D18" s="95" t="s">
        <v>282</v>
      </c>
      <c r="E18" s="96" t="s">
        <v>283</v>
      </c>
    </row>
    <row r="19" customFormat="false" ht="15" hidden="false" customHeight="true" outlineLevel="0" collapsed="false">
      <c r="A19" s="89" t="s">
        <v>284</v>
      </c>
      <c r="B19" s="90" t="s">
        <v>285</v>
      </c>
      <c r="C19" s="91" t="s">
        <v>256</v>
      </c>
      <c r="D19" s="91" t="s">
        <v>282</v>
      </c>
      <c r="E19" s="92" t="s">
        <v>286</v>
      </c>
    </row>
    <row r="20" customFormat="false" ht="15" hidden="false" customHeight="true" outlineLevel="0" collapsed="false">
      <c r="A20" s="93" t="s">
        <v>198</v>
      </c>
      <c r="B20" s="94" t="s">
        <v>287</v>
      </c>
      <c r="C20" s="95" t="s">
        <v>256</v>
      </c>
      <c r="D20" s="95" t="s">
        <v>282</v>
      </c>
      <c r="E20" s="96" t="s">
        <v>288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2026-05-16T19:31:11Z</dcterms:created>
  <dc:creator>openpyxl</dc:creator>
  <dc:description/>
  <dc:language>en-US</dc:language>
  <cp:lastModifiedBy/>
  <dcterms:modified xsi:type="dcterms:W3CDTF">2026-05-17T07:48:06Z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